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日本" sheetId="1" r:id="rId4"/>
    <sheet state="visible" name="カテゴリ情報" sheetId="2" r:id="rId5"/>
    <sheet state="hidden" name="ケアテック" sheetId="3" r:id="rId6"/>
    <sheet state="hidden" name="America" sheetId="4" r:id="rId7"/>
    <sheet state="hidden" name="アジア" sheetId="5" r:id="rId8"/>
    <sheet state="hidden" name="ヨーロッパ" sheetId="6" r:id="rId9"/>
    <sheet state="hidden" name="南米" sheetId="7" r:id="rId10"/>
    <sheet state="hidden" name="アフリカ" sheetId="8" r:id="rId11"/>
    <sheet state="hidden" name="ユニコーン" sheetId="9" r:id="rId12"/>
    <sheet state="hidden" name="医療機関向けサービス" sheetId="10" r:id="rId13"/>
  </sheets>
  <definedNames/>
  <calcPr/>
  <extLst>
    <ext uri="GoogleSheetsCustomDataVersion1">
      <go:sheetsCustomData xmlns:go="http://customooxmlschemas.google.com/" r:id="rId14" roundtripDataSignature="AMtx7mjeqLNkekCx/NzaXuVJzzNk8MrEBw=="/>
    </ext>
  </extLst>
</workbook>
</file>

<file path=xl/comments1.xml><?xml version="1.0" encoding="utf-8"?>
<comments xmlns:r="http://schemas.openxmlformats.org/officeDocument/2006/relationships" xmlns="http://schemas.openxmlformats.org/spreadsheetml/2006/main">
  <authors>
    <author/>
  </authors>
  <commentList>
    <comment authorId="0" ref="G157">
      <text>
        <t xml:space="preserve">======
ID#AAAAN4Pcr60
堀家千歌    (2021-08-16 06:00:12)
プロジェクト開始は2014だが創業は2016の模様</t>
      </text>
    </comment>
    <comment authorId="0" ref="E232">
      <text>
        <t xml:space="preserve">======
ID#AAAAIZUL66Q
    (2021-05-02 01:38:04)
https://www.gmo.jp/news/article/6138/</t>
      </text>
    </comment>
    <comment authorId="0" ref="E118">
      <text>
        <t xml:space="preserve">======
ID#AAAAIZUL66E
    (2021-05-02 01:38:04)
https://www.mti.co.jp/?p=20367
買収時の時価総額 約1億円</t>
      </text>
    </comment>
    <comment authorId="0" ref="E62">
      <text>
        <t xml:space="preserve">======
ID#AAAAIZUL66A
    (2021-05-02 01:38:04)
2016年
https://corporate.m3.com/ir/release/2015/pdf/20160125_01.pdf</t>
      </text>
    </comment>
    <comment authorId="0" ref="E17">
      <text>
        <t xml:space="preserve">======
ID#AAAAIZUL658
    (2021-05-02 01:38:04)
https://maonline.jp/news/20100519a
https://ssl4.eir-parts.net/doc/7744/ir_material_for_fiscal_ym/66926/00.pdf</t>
      </text>
    </comment>
    <comment authorId="0" ref="L36">
      <text>
        <t xml:space="preserve">======
ID#AAAAIZUL650
    (2021-05-02 01:38:04)
マザーズ</t>
      </text>
    </comment>
    <comment authorId="0" ref="E42">
      <text>
        <t xml:space="preserve">======
ID#AAAAIZUL65s
    (2021-05-02 01:38:04)
2008年 約2億円で株式の50%を取得
https://corporate.m3.com/ir/ir/release/20080520_2.pdf</t>
      </text>
    </comment>
    <comment authorId="0" ref="A232">
      <text>
        <t xml:space="preserve">======
ID#AAAAIZUL65w
    (2021-05-02 01:38:04)
元は「医療予約技術研究所」</t>
      </text>
    </comment>
    <comment authorId="0" ref="J230">
      <text>
        <t xml:space="preserve">======
ID#AAAAIZUL65o
    (2021-05-02 01:38:04)
元DeNAの創業メンバー</t>
      </text>
    </comment>
    <comment authorId="0" ref="L15">
      <text>
        <t xml:space="preserve">======
ID#AAAAIZUL65Y
    (2021-05-02 01:38:04)
東証一部3937</t>
      </text>
    </comment>
    <comment authorId="0" ref="E126">
      <text>
        <t xml:space="preserve">======
ID#AAAAIZUL648
    (2021-05-02 01:38:04)
https://tech.nikkeibp.co.jp/dm/atcl/news/16/070308200/?ST=health</t>
      </text>
    </comment>
    <comment authorId="0" ref="E180">
      <text>
        <t xml:space="preserve">======
ID#AAAAIZUL644
    (2021-05-02 01:38:04)
https://digikar.co.jp/news/m3digikar20181025</t>
      </text>
    </comment>
    <comment authorId="0" ref="E5">
      <text>
        <t xml:space="preserve">======
ID#AAAAIZUL64s
    (2021-05-02 01:38:04)
メドピアとの合弁会社を過去に設立</t>
      </text>
    </comment>
    <comment authorId="0" ref="J44">
      <text>
        <t xml:space="preserve">======
ID#AAAAIZUL64g
    (2021-05-02 01:38:04)
元ケアネット</t>
      </text>
    </comment>
    <comment authorId="0" ref="G228">
      <text>
        <t xml:space="preserve">======
ID#AAAAIZUL64c
    (2021-05-02 01:38:04)
2012年に出来たクックパッドのヘルスケア事業部が2016年に独立(内紛関連で)。2016年12月にMBOした。</t>
      </text>
    </comment>
    <comment authorId="0" ref="E40">
      <text>
        <t xml:space="preserve">======
ID#AAAAIZUL64Y
    (2021-05-02 01:38:04)
2008年にオリンパスにより買収
2013年からはノーリツ鋼機子会社に</t>
      </text>
    </comment>
    <comment authorId="0" ref="J215">
      <text>
        <t xml:space="preserve">======
ID#AAAAIZUL64I
    (2021-05-02 01:38:04)
なごみ薬局の代表も兼任</t>
      </text>
    </comment>
    <comment authorId="0" ref="L27">
      <text>
        <t xml:space="preserve">======
ID#AAAAIZUL64A
    (2021-05-02 01:38:04)
ニューヨーク証券取引所へのIPOを狙っているとのこと。海外ファンドの動きの関連か？</t>
      </text>
    </comment>
    <comment authorId="0" ref="E161">
      <text>
        <t xml:space="preserve">======
ID#AAAAIZUL63w
    (2021-05-02 01:38:04)
https://corporate.m3.com/ir/release/2016/pdf/20161024_02.pdf</t>
      </text>
    </comment>
  </commentList>
  <extLst>
    <ext uri="GoogleSheetsCustomDataVersion1">
      <go:sheetsCustomData xmlns:go="http://customooxmlschemas.google.com/" r:id="rId1" roundtripDataSignature="AMtx7mhCis5AZ+u6N6vCVUCVQ0Hkr3hqeg=="/>
    </ext>
  </extLst>
</comments>
</file>

<file path=xl/comments2.xml><?xml version="1.0" encoding="utf-8"?>
<comments xmlns:r="http://schemas.openxmlformats.org/officeDocument/2006/relationships" xmlns="http://schemas.openxmlformats.org/spreadsheetml/2006/main">
  <authors>
    <author/>
  </authors>
  <commentList>
    <comment authorId="0" ref="E165">
      <text>
        <t xml:space="preserve">======
ID#AAAAIZUL65k
    (2021-05-02 01:38:04)
Amazonに買収</t>
      </text>
    </comment>
    <comment authorId="0" ref="E10">
      <text>
        <t xml:space="preserve">======
ID#AAAAIZUL65g
    (2021-05-02 01:38:04)
2017年にKKRファンドによってM&amp;Aされた。それに伴って上場も廃止</t>
      </text>
    </comment>
    <comment authorId="0" ref="E75">
      <text>
        <t xml:space="preserve">======
ID#AAAAIZUL65Q
    (2021-05-02 01:38:04)
AthenaHealthによって2016年8月29日に買収された</t>
      </text>
    </comment>
    <comment authorId="0" ref="E8">
      <text>
        <t xml:space="preserve">======
ID#AAAAIZUL634
    (2021-05-02 01:38:04)
Amazonに買収された</t>
      </text>
    </comment>
  </commentList>
  <extLst>
    <ext uri="GoogleSheetsCustomDataVersion1">
      <go:sheetsCustomData xmlns:go="http://customooxmlschemas.google.com/" r:id="rId1" roundtripDataSignature="AMtx7miJ+Gfn+f/+jD3rmv8j/Tgg8niKow=="/>
    </ext>
  </extLst>
</comments>
</file>

<file path=xl/comments3.xml><?xml version="1.0" encoding="utf-8"?>
<comments xmlns:r="http://schemas.openxmlformats.org/officeDocument/2006/relationships" xmlns="http://schemas.openxmlformats.org/spreadsheetml/2006/main">
  <authors>
    <author/>
  </authors>
  <commentList>
    <comment authorId="0" ref="C1">
      <text>
        <t xml:space="preserve">======
ID#AAAAIZUL64E
    (2021-05-02 01:38:04)
日本の医療業界を変えうる、もしくは変革を牽引するかどうか。社会に大きなインパクトを残すポテンシャルを持っているか。</t>
      </text>
    </comment>
  </commentList>
  <extLst>
    <ext uri="GoogleSheetsCustomDataVersion1">
      <go:sheetsCustomData xmlns:go="http://customooxmlschemas.google.com/" r:id="rId1" roundtripDataSignature="AMtx7milzfb03e6K7xHZ3ofEOsH+TKbdfA=="/>
    </ext>
  </extLst>
</comments>
</file>

<file path=xl/sharedStrings.xml><?xml version="1.0" encoding="utf-8"?>
<sst xmlns="http://schemas.openxmlformats.org/spreadsheetml/2006/main" count="4766" uniqueCount="2955">
  <si>
    <t>企業名</t>
  </si>
  <si>
    <t>企業番号</t>
  </si>
  <si>
    <t>HP</t>
  </si>
  <si>
    <t>カテゴリー</t>
  </si>
  <si>
    <t>企業情報</t>
  </si>
  <si>
    <t>本社所在地</t>
  </si>
  <si>
    <t>創業年月日</t>
  </si>
  <si>
    <t>本社住所</t>
  </si>
  <si>
    <t>従業員数</t>
  </si>
  <si>
    <t>創業者</t>
  </si>
  <si>
    <t>代表者</t>
  </si>
  <si>
    <t>Exit</t>
  </si>
  <si>
    <t>親会社</t>
  </si>
  <si>
    <t>関連・子会社</t>
  </si>
  <si>
    <t>法人番号URL</t>
  </si>
  <si>
    <t>株式会社法研</t>
  </si>
  <si>
    <t>https://www.sociohealth.co.jp/</t>
  </si>
  <si>
    <t>健康相談</t>
  </si>
  <si>
    <t>健康保険組合様や企業様向けにデータヘルス計画に対応した各種の健康管理サービスを提供している企業です。書籍や広報誌・HPも含めたコンテンツ制作も行っています。</t>
  </si>
  <si>
    <t>東京都</t>
  </si>
  <si>
    <t>東京都中央区銀座1-10-1</t>
  </si>
  <si>
    <t>100~300</t>
  </si>
  <si>
    <t>佐藤幸治</t>
  </si>
  <si>
    <t>東島俊一</t>
  </si>
  <si>
    <t>未上場</t>
  </si>
  <si>
    <t>株式会社ソシオヘルス</t>
  </si>
  <si>
    <t>https://www.houjin-bangou.nta.go.jp/henkorireki-johoto.html?selHouzinNo=7010001057148</t>
  </si>
  <si>
    <t>株式会社MMコーポレーション</t>
  </si>
  <si>
    <t>https://www.mm-corp.co.jp/index.html</t>
  </si>
  <si>
    <t>医療資材・SPD</t>
  </si>
  <si>
    <t>病院向けの医療材料を提供している企業です。関東・関西にある4つのセンターで合計約20,000アイテムを常備しています。</t>
  </si>
  <si>
    <t>東京都文京区本郷 3-4-6</t>
  </si>
  <si>
    <t>300~1000</t>
  </si>
  <si>
    <t>中川幸瑛</t>
  </si>
  <si>
    <t>髙橋一巳</t>
  </si>
  <si>
    <t>メディパルホールディングス</t>
  </si>
  <si>
    <t>https://www.houjin-bangou.nta.go.jp/henkorireki-johoto.html?selHouzinNo=2010001005697</t>
  </si>
  <si>
    <t>株式会社アステム</t>
  </si>
  <si>
    <t>https://www.astemf.jp/</t>
  </si>
  <si>
    <t>医療機器</t>
  </si>
  <si>
    <t>各種医療・福祉機関に対する医療用医薬品、医療機器・設備</t>
  </si>
  <si>
    <t>福岡県</t>
  </si>
  <si>
    <t>福岡市博多区東比恵3-1-2 東比恵ビジネスセンター10F</t>
  </si>
  <si>
    <t>1000~10000</t>
  </si>
  <si>
    <t>吉村次生</t>
  </si>
  <si>
    <t>https://www.houjin-bangou.nta.go.jp/henkorireki-johoto.html?selHouzinNo=4290001002582</t>
  </si>
  <si>
    <t>株式会社日本アルトマーク</t>
  </si>
  <si>
    <t>https://www.ultmarc.co.jp/</t>
  </si>
  <si>
    <t>PHR</t>
  </si>
  <si>
    <t>エムスリーがドコモより買収</t>
  </si>
  <si>
    <t>東京都港区芝5丁目33番1号 森永プラザビル本館15階</t>
  </si>
  <si>
    <t>梅田友彦</t>
  </si>
  <si>
    <t>バイアウト</t>
  </si>
  <si>
    <t>https://www.houjin-bangou.nta.go.jp/henkorireki-johoto.html?selHouzinNo=8010001061768</t>
  </si>
  <si>
    <t>株式会社EMシステムズ</t>
  </si>
  <si>
    <t>https://emsystems.co.jp/</t>
  </si>
  <si>
    <t>医療機関DX</t>
  </si>
  <si>
    <t>調剤システム事業及びその関連事業</t>
  </si>
  <si>
    <t>大阪府</t>
  </si>
  <si>
    <t>大阪府大阪市淀川区宮原1-6-1　 新大阪ブリックビル</t>
  </si>
  <si>
    <t>國光浩三</t>
  </si>
  <si>
    <t>國光宏昌</t>
  </si>
  <si>
    <t>上場</t>
  </si>
  <si>
    <t>株式会社ラソンテ、明祥システム株式会社</t>
  </si>
  <si>
    <t>https://www.houjin-bangou.nta.go.jp/henkorireki-johoto.html?selHouzinNo=8120001053779</t>
  </si>
  <si>
    <t>株式会社データホライゾン</t>
  </si>
  <si>
    <t>https://www.dhorizon.co.jp/</t>
  </si>
  <si>
    <t>ジェネリック医薬品通知サービス等の医療関連情報事業</t>
  </si>
  <si>
    <t>広島県</t>
  </si>
  <si>
    <t>広島県広島市西区草津新町1-21-35</t>
  </si>
  <si>
    <t>50~100</t>
  </si>
  <si>
    <t>内海良夫</t>
  </si>
  <si>
    <t>https://www.houjin-bangou.nta.go.jp/henkorireki-johoto.html?selHouzinNo=9240001012318</t>
  </si>
  <si>
    <t>スヴェンソン</t>
  </si>
  <si>
    <t>美容整形</t>
  </si>
  <si>
    <t>ヘアケア、コスメティックスサービスを運営</t>
  </si>
  <si>
    <t>東京都港区赤坂1-9-13 三会堂ビル5階</t>
  </si>
  <si>
    <t>ローランド・メリンガー</t>
  </si>
  <si>
    <t>児玉義則</t>
  </si>
  <si>
    <t>https://www.houjin-bangou.nta.go.jp/henkorireki-johoto.html?selHouzinNo=4010901019431</t>
  </si>
  <si>
    <t>エーアイエス</t>
  </si>
  <si>
    <t>https://www.tais.co.jp/</t>
  </si>
  <si>
    <t>電子カルテ</t>
  </si>
  <si>
    <t>Ubicom100%子会社</t>
  </si>
  <si>
    <t>東京都文京区小石川2丁目23番11号 常光ビル</t>
  </si>
  <si>
    <t>青木正之</t>
  </si>
  <si>
    <t>Ubicom</t>
  </si>
  <si>
    <t>https://www.houjin-bangou.nta.go.jp/henkorireki-johoto.html?selHouzinNo=9010001102166</t>
  </si>
  <si>
    <t>ZEST</t>
  </si>
  <si>
    <t>https://www.zest.jp/</t>
  </si>
  <si>
    <t>在宅医療</t>
  </si>
  <si>
    <t>在宅医療の訪問スケジュール最適化による経営改善クラウドサービス</t>
  </si>
  <si>
    <t>東京都豊島区高田3丁目20-11</t>
  </si>
  <si>
    <t>1~10</t>
  </si>
  <si>
    <t>伊東由起子</t>
  </si>
  <si>
    <t>伊藤由起子</t>
  </si>
  <si>
    <t>https://www.houjin-bangou.nta.go.jp/henkorireki-johoto.html?selHouzinNo=9013301028403</t>
  </si>
  <si>
    <t>T-PEC</t>
  </si>
  <si>
    <t>電話による健康相談サービス「ハロー健康相談24」や医療関連サービス及び従業員支援プログラム(EAP)関連サービス</t>
  </si>
  <si>
    <t>東京都台東区上野5-6-10 HF上野ビル</t>
  </si>
  <si>
    <t>砂原健市</t>
  </si>
  <si>
    <t>https://www.houjin-bangou.nta.go.jp/henkorireki-johoto.html?selHouzinNo=2010001023468</t>
  </si>
  <si>
    <t>株式会社LAVA International</t>
  </si>
  <si>
    <t>https://lava-intl.co.jp/</t>
  </si>
  <si>
    <t>ホットヨガスタジオ</t>
  </si>
  <si>
    <t>東京都港区北青山1-2-3 青山ビル9階</t>
  </si>
  <si>
    <t>鷲見貴彦</t>
  </si>
  <si>
    <t>https://www.houjin-bangou.nta.go.jp/henkorireki-johoto.html?selHouzinNo=5011001044633</t>
  </si>
  <si>
    <t>株式会社ウェルネス</t>
  </si>
  <si>
    <t>https://www.wellness.co.jp/index.php</t>
  </si>
  <si>
    <t>病院DBの提供</t>
  </si>
  <si>
    <t>東京都文京区根津1-1-19 根津宮本ビル4階</t>
  </si>
  <si>
    <t>柏原純一</t>
  </si>
  <si>
    <t>https://www.houjin-bangou.nta.go.jp/henkorireki-johoto.html?selHouzinNo=8010001000899</t>
  </si>
  <si>
    <t>cmic(シミック)</t>
  </si>
  <si>
    <t>https://www.cmicgroup.com/</t>
  </si>
  <si>
    <t>D2C</t>
  </si>
  <si>
    <t>非臨床から製造販売後まで画期的なEnd-to-Endソリューションを提供</t>
  </si>
  <si>
    <t>東京都港区芝浦1丁目1番1号</t>
  </si>
  <si>
    <t>中村和男</t>
  </si>
  <si>
    <t>https://www.cmicgroup.com/corporate/group</t>
  </si>
  <si>
    <t>https://www.houjin-bangou.nta.go.jp/henkorireki-johoto.html?selHouzinNo=7700150008344</t>
  </si>
  <si>
    <t>http://www.ubicom-hd.com/</t>
  </si>
  <si>
    <t>医療情報システムのソフトウェア商品の開発・販売等</t>
  </si>
  <si>
    <t>東京都文京区小石川2-23-11 常光ビル9階</t>
  </si>
  <si>
    <t>IBMと東芝テックのJV</t>
  </si>
  <si>
    <t>https://www.ubicom-hd.com/ja/company/group.html</t>
  </si>
  <si>
    <t>https://www.houjin-bangou.nta.go.jp/henkorireki-johoto.html?selHouzinNo=8010401059998</t>
  </si>
  <si>
    <t>セコム医療システム</t>
  </si>
  <si>
    <t>https://medical.secom.co.jp/corporate/history.html</t>
  </si>
  <si>
    <t>メディカルサービスを提供</t>
  </si>
  <si>
    <t>東京都渋谷区神宮前一丁目5番1号（セコム本社ビル14階）</t>
  </si>
  <si>
    <t>セコム子会社</t>
  </si>
  <si>
    <t>布施達朗</t>
  </si>
  <si>
    <t>https://www.houjin-bangou.nta.go.jp/henkorireki-johoto.html?selHouzinNo=1011001035966</t>
  </si>
  <si>
    <t>ドクターネット</t>
  </si>
  <si>
    <t>オンライン診療</t>
  </si>
  <si>
    <t>ノーリツ鋼機 =&gt; JMDCの子会社</t>
  </si>
  <si>
    <t>東京都港区浜松町2-7-1 第38荒井ビル7階</t>
  </si>
  <si>
    <t>佐藤俊彦</t>
  </si>
  <si>
    <t>長谷川雅子</t>
  </si>
  <si>
    <t xml:space="preserve"> JMDC</t>
  </si>
  <si>
    <t>https://www.houjin-bangou.nta.go.jp/henkorireki-johoto.html?selHouzinNo=7010401088511</t>
  </si>
  <si>
    <t>MTI(エム・ティー・アイ)</t>
  </si>
  <si>
    <t>フェムテック</t>
  </si>
  <si>
    <t>女性のための健康情報サービス「ルナルナ」</t>
  </si>
  <si>
    <t>東京都新宿区西新宿3-20-2 東京オペラシティタワー35F</t>
  </si>
  <si>
    <t>10~50</t>
  </si>
  <si>
    <t>前多俊宏</t>
  </si>
  <si>
    <t>（株）エムティーアイ・コンサルティング、 MTI TECHNOLOGY Co.,Ltd.、（株）メディアーノ、（株）ビデオマーケット、（株）クリプラ、（株）エムティーアイ・ヘルスケア・ホールディングス、（株）ソラミチシステム、（株）カラダメディカ、Automagi（株）、クラウドキャスト（株）、（株）ファルモ</t>
  </si>
  <si>
    <t>https://www.houjin-bangou.nta.go.jp/henkorireki-johoto.html?selHouzinNo=4140001030292</t>
  </si>
  <si>
    <t>ベネフィットワン</t>
  </si>
  <si>
    <t>健康経営</t>
  </si>
  <si>
    <t>官公庁や企業の福利厚生業務の運営代行サービス</t>
  </si>
  <si>
    <t>東京都新宿区高田馬場1-31-18</t>
  </si>
  <si>
    <t>深澤旬子</t>
  </si>
  <si>
    <t>白石徳生</t>
  </si>
  <si>
    <t>https://www.houjin-bangou.nta.go.jp/henkorireki-johoto.html?selHouzinNo=8011001045281</t>
  </si>
  <si>
    <t>株式会社ケアネット</t>
  </si>
  <si>
    <t>https://www.carenet.co.jp/</t>
  </si>
  <si>
    <t>MR支援/医師向けコンテンツ</t>
  </si>
  <si>
    <t>東京都千代田区九段南1-5-6　りそな九段ビル</t>
  </si>
  <si>
    <t>大野元泰</t>
  </si>
  <si>
    <t>https://www.houjin-bangou.nta.go.jp/henkorireki-johoto.html?selHouzinNo=4010001075490</t>
  </si>
  <si>
    <t>パシフィックシステム</t>
  </si>
  <si>
    <t>電子カルテシステムの開発及び販売</t>
  </si>
  <si>
    <t>高知県</t>
  </si>
  <si>
    <t>高知県宿毛市幸町５番１２号</t>
  </si>
  <si>
    <t>小松広行</t>
  </si>
  <si>
    <t>https://www.houjin-bangou.nta.go.jp/henkorireki-johoto.html?selHouzinNo=2490001009840</t>
  </si>
  <si>
    <t>PEACEMIND</t>
  </si>
  <si>
    <t>https://www.peacemind.co.jp/</t>
  </si>
  <si>
    <t>メンタルヘルス</t>
  </si>
  <si>
    <t>メンタルヘルスに関するコンサルティング</t>
  </si>
  <si>
    <t>東京都中央区銀座3-10-6 マルイト銀座第3ビル8F</t>
  </si>
  <si>
    <t>荻原英人</t>
  </si>
  <si>
    <t>https://www.houjin-bangou.nta.go.jp/henkorireki-johoto.html?selHouzinNo=3010001090400</t>
  </si>
  <si>
    <t>メディカルシステムネットワーク</t>
  </si>
  <si>
    <t>http://www.msnw.co.jp/</t>
  </si>
  <si>
    <t>薬局DX</t>
  </si>
  <si>
    <t>調剤薬局等と医薬品卸売会社の企業間電子取引を対象とした通信ネットワークシステムの構築、管理、運営等</t>
  </si>
  <si>
    <t>北海道</t>
  </si>
  <si>
    <t>北海道札幌市中央区北十条西二十四丁目3番地</t>
  </si>
  <si>
    <t>田尻稲雄</t>
  </si>
  <si>
    <t>https://www.houjin-bangou.nta.go.jp/henkorireki-johoto.html?selHouzinNo=6430001025872</t>
  </si>
  <si>
    <t>グッピーズ　GUPPY's</t>
  </si>
  <si>
    <t>http://www.guppy.co.jp/company/</t>
  </si>
  <si>
    <t>人材</t>
  </si>
  <si>
    <t>医師、薬剤師、看護師など医療、介護、製薬に特化した人材派遣、コンテンツ制作などのインターネットサービス</t>
  </si>
  <si>
    <t>東京都新宿区西新宿1-25-1 新宿センタービル13F</t>
  </si>
  <si>
    <t>肥田義光</t>
  </si>
  <si>
    <t>https://www.houjin-bangou.nta.go.jp/henkorireki-johoto.html?selHouzinNo=5011101043683</t>
  </si>
  <si>
    <t>エムスリー</t>
  </si>
  <si>
    <t>https://corporate.m3.com/</t>
  </si>
  <si>
    <t>インターネットを利用した医療関連サービスの提供</t>
  </si>
  <si>
    <t>東京都港区赤坂1丁目11番44号 赤坂インターシティ10階</t>
  </si>
  <si>
    <t>谷村格</t>
  </si>
  <si>
    <t>アイチケット株式会社，株式会社インサイト・アイ，株式会社インフロント，エダンズ株式会社，エムスリーエデュケーション株式会社，エムスリーキャリア株式会社　など</t>
  </si>
  <si>
    <t>https://www.houjin-bangou.nta.go.jp/henkorireki-johoto.html?selHouzinNo=1010401063016</t>
  </si>
  <si>
    <t>MRT</t>
  </si>
  <si>
    <t>https://medrt.co.jp/</t>
  </si>
  <si>
    <t>医師・医療従事者向けコミュニティーサイト運営・人材紹介・人材派遣</t>
  </si>
  <si>
    <t>東京都新宿区西新宿1-26-2</t>
  </si>
  <si>
    <t>馬場稔正</t>
  </si>
  <si>
    <t>小川智也</t>
  </si>
  <si>
    <t>https://www.houjin-bangou.nta.go.jp/henkorireki-johoto.html?selHouzinNo=3011101059533</t>
  </si>
  <si>
    <t>MEDIROM</t>
  </si>
  <si>
    <t>店舗運営やヘルスケアIT開発を通し、健康増進分野から医療分野までを一貫して支援</t>
  </si>
  <si>
    <t>東京都港区台場2-3-1 トレードピアお台場16階</t>
  </si>
  <si>
    <t>江口康二</t>
  </si>
  <si>
    <t>https://www.houjin-bangou.nta.go.jp/henkorireki-johoto.html?selHouzinNo=7011001063607</t>
  </si>
  <si>
    <t>オプティム(Optim)</t>
  </si>
  <si>
    <t>https://www.optim.co.jp</t>
  </si>
  <si>
    <t>MRTとポケットドクターを提供</t>
  </si>
  <si>
    <t>東京都港区海岸1-2-20 汐留ビルディング 21F</t>
  </si>
  <si>
    <t>菅谷俊二</t>
  </si>
  <si>
    <t>https://www.optim.co.jp/corporate/group</t>
  </si>
  <si>
    <t>https://www.houjin-bangou.nta.go.jp/henkorireki-johoto.html?selHouzinNo=4300001001392</t>
  </si>
  <si>
    <t>エンパワーヘルスケア株式会社</t>
  </si>
  <si>
    <t>https://www.empower-hc.com/</t>
  </si>
  <si>
    <t>医療施設向け受付サービスの充実化</t>
  </si>
  <si>
    <t>東京都港区芝公園2-4-1 芝パークビルA館1F</t>
  </si>
  <si>
    <t>大西洋</t>
  </si>
  <si>
    <t>矢島義章</t>
  </si>
  <si>
    <t>https://www.houjin-bangou.nta.go.jp/henkorireki-johoto.html?selHouzinNo=5010401081856</t>
  </si>
  <si>
    <t>エムネス</t>
  </si>
  <si>
    <t>https://www.mnes.org/</t>
  </si>
  <si>
    <t>医療支援クラウドプラットフォーム「LOOKREC」を開発、提供</t>
  </si>
  <si>
    <t>広島県広島市南区東雲本町1-2-27</t>
  </si>
  <si>
    <t>北村直幸</t>
  </si>
  <si>
    <t>阿部伸一</t>
  </si>
  <si>
    <t>https://www.houjin-bangou.nta.go.jp/henkorireki-johoto.html?selHouzinNo=4240001015754</t>
  </si>
  <si>
    <t>メディヴァ</t>
  </si>
  <si>
    <t>https://mediva.co.jp/about/index2.html</t>
  </si>
  <si>
    <t>医療機関の経営コンサルティング及び設立支援</t>
  </si>
  <si>
    <t>東京都世田谷区用賀2-32-18-301</t>
  </si>
  <si>
    <t>大石佳能子</t>
  </si>
  <si>
    <t>https://www.houjin-bangou.nta.go.jp/henkorireki-johoto.html?selHouzinNo=3010901014730</t>
  </si>
  <si>
    <t>カナミックネットワーク</t>
  </si>
  <si>
    <t>介護</t>
  </si>
  <si>
    <t>現在は創業者の長男が代表</t>
  </si>
  <si>
    <t>東京都渋谷区恵比寿4-20-3 恵比寿ガーデンプレイスタワー31階</t>
  </si>
  <si>
    <t>山本稔</t>
  </si>
  <si>
    <t>山本拓真，山本洋子</t>
  </si>
  <si>
    <t>https://www.houjin-bangou.nta.go.jp/henkorireki-johoto.html?selHouzinNo=9010701012714</t>
  </si>
  <si>
    <t>ネット・メディカルセンター</t>
  </si>
  <si>
    <t>https://www.nmed-center.co.jp/index-51.html</t>
  </si>
  <si>
    <t>医療画像</t>
  </si>
  <si>
    <t>遠隔画像診断サービス</t>
  </si>
  <si>
    <t>福岡県福岡市南区那の川1-24-1</t>
  </si>
  <si>
    <t>九電工と九州大学の合同設立</t>
  </si>
  <si>
    <t>石丸米隆</t>
  </si>
  <si>
    <t>https://www.houjin-bangou.nta.go.jp/henkorireki-johoto.html?selHouzinNo=5290001020542</t>
  </si>
  <si>
    <t>アイソル</t>
  </si>
  <si>
    <t>https://www.ai-sol.jp/</t>
  </si>
  <si>
    <t>診療所向け電子カルテシステムの開発・販売・導入・保守</t>
  </si>
  <si>
    <t>大阪市中央区徳井町1丁目4番7号 杉本ビル5F</t>
  </si>
  <si>
    <t>田中雅史</t>
  </si>
  <si>
    <t>https://www.houjin-bangou.nta.go.jp/henkorireki-johoto.html?selHouzinNo=8120001099797</t>
  </si>
  <si>
    <t>アルム</t>
  </si>
  <si>
    <t>医療・福祉分野におけるモバイルICTソリューションである「Join」や「Team」などを開発・提供。</t>
  </si>
  <si>
    <t>東京都渋谷区渋谷3-27-11 祐真ビル新館2F</t>
  </si>
  <si>
    <t>坂野哲平</t>
  </si>
  <si>
    <t>株式会社エムプラス, メディベーション株式会社,株式会社PENTASなど</t>
  </si>
  <si>
    <t>https://www.houjin-bangou.nta.go.jp/henkorireki-johoto.html?selHouzinNo=1011001072836</t>
  </si>
  <si>
    <t>メディカルネット</t>
  </si>
  <si>
    <t>歯科領域</t>
  </si>
  <si>
    <t>エムスリー子会社</t>
  </si>
  <si>
    <t>東京都渋谷区幡ヶ谷1-34-14</t>
  </si>
  <si>
    <t>早川亮,早川竜介</t>
  </si>
  <si>
    <t>早川亮</t>
  </si>
  <si>
    <t>https://www.houjin-bangou.nta.go.jp/henkorireki-johoto.html?selHouzinNo=1011001036766</t>
  </si>
  <si>
    <t>バリューHR</t>
  </si>
  <si>
    <t>https://www.valuehr.com/docs/</t>
  </si>
  <si>
    <t>各種健康管理サービス（ICT面談など</t>
  </si>
  <si>
    <t>東京都渋谷区千駄ヶ谷5-21-14</t>
  </si>
  <si>
    <t>藤田美智雄</t>
  </si>
  <si>
    <t>株式会社バリューネットワークス
（福利厚生代行サービスの提供）
株式会社バリューヘルスケア
（ヘルスケア関連サービスの提供）
株式会社バリューＨＲベンチャーズ
（ベンチャー企業への投資及び事業開発支援、起業支援等）
株式会社健診予約.com
（健康診断予約サービスの提供）</t>
  </si>
  <si>
    <t>https://www.houjin-bangou.nta.go.jp/henkorireki-johoto.html?selHouzinNo=7011001036950</t>
  </si>
  <si>
    <t>インターネットインフィニティー</t>
  </si>
  <si>
    <t>介護保険における訪問介護事業</t>
  </si>
  <si>
    <t>東京都中央区築地5-6-10 浜離宮パークサイドプレイス15階</t>
  </si>
  <si>
    <t>別宮圭一</t>
  </si>
  <si>
    <t>https://www.houjin-bangou.nta.go.jp/henkorireki-johoto.html?selHouzinNo=2010001088949</t>
  </si>
  <si>
    <t>イサナドットネット</t>
  </si>
  <si>
    <t>隔離病棟における、遠隔診療のシステム開発・提供を通して、新型コロナウイルスの院内感染予防</t>
  </si>
  <si>
    <t>東京都渋谷区千駄ヶ谷4-10-8 ウイング410 1F-B</t>
  </si>
  <si>
    <t>石谷伊左奈</t>
  </si>
  <si>
    <t>https://www.houjin-bangou.nta.go.jp/henkorireki-johoto.html?selHouzinNo=7011001045654</t>
  </si>
  <si>
    <t>JMDC</t>
  </si>
  <si>
    <t>https://www.jmdc.co.jp/</t>
  </si>
  <si>
    <t>ノーリツ鋼機子会社</t>
  </si>
  <si>
    <t>東京都港区芝大門2-5-5 住友芝大門ビル12F</t>
  </si>
  <si>
    <t>木村真也</t>
  </si>
  <si>
    <t>松島陽介</t>
  </si>
  <si>
    <t>ノーリツ鋼機</t>
  </si>
  <si>
    <t>株式会社ドクターネット
株式会社ユニケソフトウェアリサーチ
メディカルデータベース株式会社
ミーカンパニー株式会社
エヌエスパートナーズ株式会社
株式会社flixy
株式会社JMDCキャピタル
株式会社ハビタスケア
株式会社医薬情報ネット
データインデックス株式会社
株式会社SEEDSUPPLY</t>
  </si>
  <si>
    <t>https://www.houjin-bangou.nta.go.jp/henkorireki-johoto.html?selHouzinNo=6010403010531</t>
  </si>
  <si>
    <t>ソフィアメディ</t>
  </si>
  <si>
    <t>https://www.sophiamedi.co.jp/</t>
  </si>
  <si>
    <t>エムスリードクターサポート買収</t>
  </si>
  <si>
    <t>東京都品川区西五反田1丁目3-8 五反田PLACE 3F</t>
  </si>
  <si>
    <t>水谷和美</t>
  </si>
  <si>
    <t>濵口慶太</t>
  </si>
  <si>
    <t>エムスリードクターサポート</t>
  </si>
  <si>
    <t>https://www.houjin-bangou.nta.go.jp/henkorireki-johoto.html?selHouzinNo=4013201016660</t>
  </si>
  <si>
    <t>アイチケット</t>
  </si>
  <si>
    <t>エムスリーが買収</t>
  </si>
  <si>
    <t>東京都港区赤坂1-11-44 赤坂インターシティ11階</t>
  </si>
  <si>
    <t>吉井浩一</t>
  </si>
  <si>
    <t>https://www.houjin-bangou.nta.go.jp/henkorireki-johoto.html?selHouzinNo=4010401078275</t>
  </si>
  <si>
    <t>クラブビジネスジャパン</t>
  </si>
  <si>
    <t>フィットネス</t>
  </si>
  <si>
    <t>東京都渋谷区神泉町20-25　神泉QSビル8Ｆ</t>
  </si>
  <si>
    <t>古屋武範</t>
  </si>
  <si>
    <t>https://www.houjin-bangou.nta.go.jp/henkorireki-johoto.html?selHouzinNo=1011001042302</t>
  </si>
  <si>
    <t>リンクアンドコミュニケーション</t>
  </si>
  <si>
    <t>https://www.linkncom.co.jp/</t>
  </si>
  <si>
    <t>食を中心とした健康アドバイス事業</t>
  </si>
  <si>
    <t>東京都千代田区紀尾井町4-1 新紀尾井町ビル5階</t>
  </si>
  <si>
    <t>渡辺敏成,入澤正幸</t>
  </si>
  <si>
    <t>渡辺敏成,</t>
  </si>
  <si>
    <t>https://www.houjin-bangou.nta.go.jp/henkorireki-johoto.html?selHouzinNo=7011101039597</t>
  </si>
  <si>
    <t>メディカル・データ・ビジョン</t>
  </si>
  <si>
    <t>https://www.mdv.co.jp/</t>
  </si>
  <si>
    <t>医療機関に対する、経営分析・ベンチマーク分析などの提供のためのソフトウェア開発</t>
  </si>
  <si>
    <t>東京都千代田区神田美土代町7 住友不動産神田ビル10階</t>
  </si>
  <si>
    <t>岩崎博之</t>
  </si>
  <si>
    <t>https://www.houjin-bangou.nta.go.jp/henkorireki-johoto.html?selHouzinNo=7010001087640</t>
  </si>
  <si>
    <t>SMS</t>
  </si>
  <si>
    <t>インターネットを通じた、介護・医療業界向けの人材紹介事業、求人広告事業</t>
  </si>
  <si>
    <t>東京都港区三田3-5-27</t>
  </si>
  <si>
    <t>諸藤周平</t>
  </si>
  <si>
    <t>後藤夏樹</t>
  </si>
  <si>
    <t>https://www.houjin-bangou.nta.go.jp/henkorireki-johoto.html?selHouzinNo=2010001134117</t>
  </si>
  <si>
    <t>エムステージ</t>
  </si>
  <si>
    <t>医師向けキャリア支援・医療機関向け採用支援、医療経営支援</t>
  </si>
  <si>
    <t>東京都港区芝浦2-6-11</t>
  </si>
  <si>
    <t>杉田雄二</t>
  </si>
  <si>
    <t>https://www.houjin-bangou.nta.go.jp/henkorireki-johoto.html?selHouzinNo=9011101042830</t>
  </si>
  <si>
    <t>エンブレース</t>
  </si>
  <si>
    <t>https://www.embrace.co.jp</t>
  </si>
  <si>
    <t>病院・クリニック・薬局・介護施設などで働く医療介護従事者の多職種連携や、患者・家族とのコミュニケーションツールである完全非公開型医療介護専用SNS「メディカルケアステーション（MedicalCare STATION）」（略称：MCS）の提供。</t>
  </si>
  <si>
    <t>東京都千代田区有楽町2-7-1有楽町イトシア12F</t>
  </si>
  <si>
    <t>松下和彦</t>
  </si>
  <si>
    <t>伊藤忍</t>
  </si>
  <si>
    <t>https://www.houjin-bangou.nta.go.jp/henkorireki-johoto.html?selHouzinNo=4013201010548</t>
  </si>
  <si>
    <t>エイ・アイ・シー</t>
  </si>
  <si>
    <t>デンタルエステのFC</t>
  </si>
  <si>
    <t>東京都中央区晴海3-13-1 DEUX TOURS E46F</t>
  </si>
  <si>
    <t>坂本佳昭</t>
  </si>
  <si>
    <t>三木田賢亮</t>
  </si>
  <si>
    <t>https://www.houjin-bangou.nta.go.jp/henkorireki-johoto.html?selHouzinNo=6011001138401</t>
  </si>
  <si>
    <t>ディー・クルー・テクノロジーズ</t>
  </si>
  <si>
    <t>最先端アナログデザインサービスとソリューションの提供事業</t>
  </si>
  <si>
    <t>神奈川県</t>
  </si>
  <si>
    <t>神奈川県横浜市港北区新横浜3-19-1 LIVMOライジングビル5F</t>
  </si>
  <si>
    <t>石川明彦</t>
  </si>
  <si>
    <t>https://www.houjin-bangou.nta.go.jp/henkorireki-johoto.html?selHouzinNo=1020001121908</t>
  </si>
  <si>
    <t>株式会社ZEN PLACE</t>
  </si>
  <si>
    <t>https://corporate.zenplace.co.jp/</t>
  </si>
  <si>
    <t>訪問看護</t>
  </si>
  <si>
    <t>ヨガ/訪問看護/開発</t>
  </si>
  <si>
    <t>東京都目黒区青葉台2-20-14 青和ビル2階</t>
  </si>
  <si>
    <t>尾崎成彦</t>
  </si>
  <si>
    <t>https://www.houjin-bangou.nta.go.jp/henkorireki-johoto.html?selHouzinNo=8013201010701</t>
  </si>
  <si>
    <t>メドピア</t>
  </si>
  <si>
    <t>医師向けコミュニティサイト「MedPeer」の運営</t>
  </si>
  <si>
    <t>東京都渋谷区渋谷2-16-5</t>
  </si>
  <si>
    <t>石見陽</t>
  </si>
  <si>
    <t>株式会社Mediplat
株式会社フィッツプラス
株式会社コルボ
メドピアキャリアエージェント株式会社
メドクロス株式会社</t>
  </si>
  <si>
    <t>https://www.houjin-bangou.nta.go.jp/henkorireki-johoto.html?selHouzinNo=8011001073431</t>
  </si>
  <si>
    <t>株式会社くすりの窓口(旧:株式会社フリービットEPARKヘルスケア)</t>
  </si>
  <si>
    <t>https://fbeparkhc.jp/</t>
  </si>
  <si>
    <t>くすりの窓口</t>
  </si>
  <si>
    <t>東京都豊島区池袋2-43-1 池袋青柳ビル4F</t>
  </si>
  <si>
    <t>田中伸明</t>
  </si>
  <si>
    <t>https://www.houjin-bangou.nta.go.jp/henkorireki-johoto.html?selHouzinNo=7420001005379</t>
  </si>
  <si>
    <t>CYBERDYNE</t>
  </si>
  <si>
    <t>サイボーグ型ロボット、ロボットスーツ「HAL®(Hybrid Assistive Limb®)」の開発事業</t>
  </si>
  <si>
    <t>茨城県</t>
  </si>
  <si>
    <t>茨城県つくば市苅間字西向1219</t>
  </si>
  <si>
    <t>山海嘉之</t>
  </si>
  <si>
    <t>https://www.houjin-bangou.nta.go.jp/henkorireki-johoto.html?selHouzinNo=8050001016537</t>
  </si>
  <si>
    <t>eヘルスケア</t>
  </si>
  <si>
    <t>http://ehealthcare.co.jp/</t>
  </si>
  <si>
    <t>事業内容マーケティングリサーチおよびコンサルティング業務</t>
  </si>
  <si>
    <t>東京都千代田区紀尾井町3-6 紀尾井町パークビル1F</t>
  </si>
  <si>
    <t>尾関賢二</t>
  </si>
  <si>
    <t>https://www.houjin-bangou.nta.go.jp/henkorireki-johoto.html?selHouzinNo=4011101055432</t>
  </si>
  <si>
    <t>グッドサイクルシステム</t>
  </si>
  <si>
    <t>保険薬局向けシステム (電子薬歴「GooCo (グーコ)」・iPadを使用した訪問薬剤管理指導・調剤過誤防止ピッキングシステム・OTC薬剤情報提供システム等) の企画、開発、販売</t>
  </si>
  <si>
    <t>東京都渋谷区渋谷2-7-5 ヒューリック渋谷二丁目ビル 5階</t>
  </si>
  <si>
    <t>遠藤朝朗</t>
  </si>
  <si>
    <t>https://www.houjin-bangou.nta.go.jp/henkorireki-johoto.html?selHouzinNo=4011001044411</t>
  </si>
  <si>
    <t>アトラ</t>
  </si>
  <si>
    <t>https://www.artra-group.co.jp/</t>
  </si>
  <si>
    <t>鍼灸接骨院の開業支援及び運営指導</t>
  </si>
  <si>
    <t>大阪府大阪市西区立売堀4-6-9 大嘉ビル5F</t>
  </si>
  <si>
    <t>久世博之</t>
  </si>
  <si>
    <t>https://www.houjin-bangou.nta.go.jp/henkorireki-johoto.html?selHouzinNo=6120001113618</t>
  </si>
  <si>
    <t>イーエックスパートナーズ</t>
  </si>
  <si>
    <t>https://www.ex-partners.co.jp/</t>
  </si>
  <si>
    <t>医師向けファイナンシャルプランニング</t>
  </si>
  <si>
    <t>東京都渋谷区神宮前4-3-15 東京セントラル表参道 #421</t>
  </si>
  <si>
    <t>清水修</t>
  </si>
  <si>
    <t>https://www.houjin-bangou.nta.go.jp/henkorireki-johoto.html?selHouzinNo=5010001115031</t>
  </si>
  <si>
    <t>3Hメディソリューション</t>
  </si>
  <si>
    <t>https://3h-ms.co.jp/</t>
  </si>
  <si>
    <t>医療現場における被験者に関して、主に重複登録防止システム「ReGuSYS（レガシス）」の開発</t>
  </si>
  <si>
    <t>東京都豊島区南池袋1-13-23 池袋YSビル 2F</t>
  </si>
  <si>
    <t>園山征夫</t>
  </si>
  <si>
    <t>安藤昌</t>
  </si>
  <si>
    <t>https://www.houjin-bangou.nta.go.jp/henkorireki-johoto.html?selHouzinNo=4013301027145</t>
  </si>
  <si>
    <t>GENOVA</t>
  </si>
  <si>
    <t>医療業界に特化したWEBサイト制作・動画制作・AIの導入などマーケティング事業を提供。</t>
  </si>
  <si>
    <t>東京都渋谷区宇田川町10-3 SHIBUYA EDGEビル 6階</t>
  </si>
  <si>
    <t>平瀬智樹</t>
  </si>
  <si>
    <t>https://www.houjin-bangou.nta.go.jp/henkorireki-johoto.html?selHouzinNo=6011001046711</t>
  </si>
  <si>
    <t>GCストーリー株式会社</t>
  </si>
  <si>
    <t>看板・屋外広告のプラットフォーム</t>
  </si>
  <si>
    <t>東京都江東区木場6-4-2 KIビル 6F</t>
  </si>
  <si>
    <t>西坂勇人</t>
  </si>
  <si>
    <t>https://www.houjin-bangou.nta.go.jp/henkorireki-johoto.html?selHouzinNo=2010601041464</t>
  </si>
  <si>
    <t>Qlife</t>
  </si>
  <si>
    <t>製薬企業支援</t>
  </si>
  <si>
    <t>エムスリー買収</t>
  </si>
  <si>
    <t>東京都千代田区永田町2-13-1 ボッシュビル赤坂7F</t>
  </si>
  <si>
    <t>山内善行</t>
  </si>
  <si>
    <t>エス・エム・エス</t>
  </si>
  <si>
    <t>https://www.houjin-bangou.nta.go.jp/henkorireki-johoto.html?selHouzinNo=1010901019228</t>
  </si>
  <si>
    <t>スピンシェル</t>
  </si>
  <si>
    <t>https://www.spinshell.com/</t>
  </si>
  <si>
    <t>リアルタイム・コミュニケーションプラットフォームの開発及び運営 ビデオ通信を活用したサービスモデル</t>
  </si>
  <si>
    <t>東京都文京区後楽2-23-12 ホリックハウス2F</t>
  </si>
  <si>
    <t>金田宏</t>
  </si>
  <si>
    <t>https://www.houjin-bangou.nta.go.jp/henkorireki-johoto.html?selHouzinNo=2011101054824</t>
  </si>
  <si>
    <t>エイツーシグマ</t>
  </si>
  <si>
    <t>遺伝子検査，医療及び健康に関する情報提供サービス業</t>
  </si>
  <si>
    <t>東京都千代田区有楽町2-10-1　東京交通会館6階　goodoffice有楽町</t>
  </si>
  <si>
    <t>安河内正文</t>
  </si>
  <si>
    <t>西川伸一</t>
  </si>
  <si>
    <t>https://www.houjin-bangou.nta.go.jp/henkorireki-johoto.html?selHouzinNo=4010401091113</t>
  </si>
  <si>
    <t>フィッツプラス</t>
  </si>
  <si>
    <t>https://fitsplus.co.jp/</t>
  </si>
  <si>
    <t>メドピア子会社</t>
  </si>
  <si>
    <t>東京都中央区銀座6-18-2 野村不動産銀座ビル11階</t>
  </si>
  <si>
    <t>高橋宏幸</t>
  </si>
  <si>
    <t>メドピアグループ</t>
  </si>
  <si>
    <t>https://www.houjin-bangou.nta.go.jp/henkorireki-johoto.html?selHouzinNo=7011001070685</t>
  </si>
  <si>
    <t>メディウィル</t>
  </si>
  <si>
    <t>医療業界のデジタルマーケティングを支援</t>
  </si>
  <si>
    <t>東京都世田谷区三宿1-14-8 三宿バドスクエア107</t>
  </si>
  <si>
    <t>城間波留人</t>
  </si>
  <si>
    <t>https://www.houjin-bangou.nta.go.jp/henkorireki-johoto.html?selHouzinNo=9010402032532</t>
  </si>
  <si>
    <t>メディシンク</t>
  </si>
  <si>
    <t>http://medithink.co.jp/</t>
  </si>
  <si>
    <t>医療現場で直面されているさまざまな課題を、デザイン思考によって解決の方策を探ろうとする「学びと実践の場</t>
  </si>
  <si>
    <t>東京都港区高輪3-13-3 シナガワグース4F</t>
  </si>
  <si>
    <t>八村大輔</t>
  </si>
  <si>
    <t>https://www.houjin-bangou.nta.go.jp/henkorireki-johoto.html?selHouzinNo=9010401083881</t>
  </si>
  <si>
    <t>ヘルシーパス</t>
  </si>
  <si>
    <t>栄養療法やクリニック経営に関する情報</t>
  </si>
  <si>
    <t>静岡県</t>
  </si>
  <si>
    <t>静岡県静岡市葵区栄町2-10 1192ビル</t>
  </si>
  <si>
    <t>田村忠司</t>
  </si>
  <si>
    <t>https://www.houjin-bangou.nta.go.jp/henkorireki-johoto.html?selHouzinNo=5080001010894</t>
  </si>
  <si>
    <t>ミュートス</t>
  </si>
  <si>
    <t>医療従事者向けコミュニティ運営支援サービス</t>
  </si>
  <si>
    <t>大阪府大阪市中央区久太郎町2-2-7 山口興産堺筋ビル3F</t>
  </si>
  <si>
    <t>富山慎二</t>
  </si>
  <si>
    <t>https://www.houjin-bangou.nta.go.jp/henkorireki-johoto.html?selHouzinNo=1120001117458</t>
  </si>
  <si>
    <t>株式会社asken</t>
  </si>
  <si>
    <t>https://www.w-it.co.jp/</t>
  </si>
  <si>
    <t>インターネットを通じた食と健康に関するサービス提供</t>
  </si>
  <si>
    <t>東京都新宿区西新宿3-20-2東京オペラシティタワー 8F</t>
  </si>
  <si>
    <t>グリーンハウス100%子会社</t>
  </si>
  <si>
    <t>中島洋</t>
  </si>
  <si>
    <t>https://www.houjin-bangou.nta.go.jp/henkorireki-johoto.html?selHouzinNo=2011101047134</t>
  </si>
  <si>
    <t>医知悟LLC</t>
  </si>
  <si>
    <t>http://www.ichigo-llc.co.jp/index.html</t>
  </si>
  <si>
    <t>株式会社NOBORI子会社。遠隔診断を支援するIT情報インフラの提供、診断医師に対する業務支援情報サービス</t>
  </si>
  <si>
    <t>東京都港区三田三丁目11-24 国際興業三田第2ビル 5F</t>
  </si>
  <si>
    <t>株式会社NOBORI</t>
  </si>
  <si>
    <t>NOBORI</t>
  </si>
  <si>
    <t>https://www.houjin-bangou.nta.go.jp/henkorireki-johoto.html?selHouzinNo=6010403006422</t>
  </si>
  <si>
    <t>エストコーポレーション</t>
  </si>
  <si>
    <t>健診、生活機能評価のデータ作成及び電子化、高齢者マーケティング及び二次予防事業対象者把握、医療機関検索及び予約サービス開発など</t>
  </si>
  <si>
    <t>東京都中央区日本橋3-14-3 武田江戸橋ビル6F</t>
  </si>
  <si>
    <t>清水史浩</t>
  </si>
  <si>
    <t>https://www.houjin-bangou.nta.go.jp/henkorireki-johoto.html?selHouzinNo=6010001110840</t>
  </si>
  <si>
    <t>ケアプロ</t>
  </si>
  <si>
    <t>http://carepro.co.jp/</t>
  </si>
  <si>
    <t>セルフ健康チェック、訪問看護ステーション、健康データ管理</t>
  </si>
  <si>
    <t>東京都中野区中央3-13-10　JOY　HAYASHI　3F</t>
  </si>
  <si>
    <t>川添高志</t>
  </si>
  <si>
    <t>https://www.houjin-bangou.nta.go.jp/henkorireki-johoto.html?selHouzinNo=4020001055401</t>
  </si>
  <si>
    <t>京都プロメド</t>
  </si>
  <si>
    <t>https://www.promed.jp/company/</t>
  </si>
  <si>
    <t>京都府</t>
  </si>
  <si>
    <t>京都市上京区河原町通丸太町下ル伊勢屋町406　マツヲビル2F</t>
  </si>
  <si>
    <t>河上聡</t>
  </si>
  <si>
    <t>株式会社レオクラン</t>
  </si>
  <si>
    <t>https://www.houjin-bangou.nta.go.jp/henkorireki-johoto.html?selHouzinNo=3130001028784</t>
  </si>
  <si>
    <t>GH株式会社</t>
  </si>
  <si>
    <t>https://www.ghjapan.jp/about.html</t>
  </si>
  <si>
    <t>メディカル/サイエンス マーケティング支援、Web制作、コンテンツ制作、MEO対策</t>
  </si>
  <si>
    <t>東京都港区南青山二丁目2番15号　ウィン青山ビルUCF9階</t>
  </si>
  <si>
    <t>衛藤史貴</t>
  </si>
  <si>
    <t>https://www.houjin-bangou.nta.go.jp/henkorireki-johoto.html?selHouzinNo=6010401079775</t>
  </si>
  <si>
    <t>mediweb</t>
  </si>
  <si>
    <t>経営業務支援、Webページ、アプリ作成</t>
  </si>
  <si>
    <t>東京都港区新橋6-13-1　第3長谷川ビル 3F</t>
  </si>
  <si>
    <t>楊浩勇</t>
  </si>
  <si>
    <t>https://www.houjin-bangou.nta.go.jp/henkorireki-johoto.html?selHouzinNo=7010401095730</t>
  </si>
  <si>
    <t>MCI</t>
  </si>
  <si>
    <t>製薬企業へのカスタマイズ型マーケティング支援、マーケティングリサーチ事業、デジタルマーケティング事業</t>
  </si>
  <si>
    <t>東京都中央区日本橋室町1-7-1</t>
  </si>
  <si>
    <t>千田壮修</t>
  </si>
  <si>
    <t>https://www.houjin-bangou.nta.go.jp/henkorireki-johoto.html?selHouzinNo=1010001112445</t>
  </si>
  <si>
    <t>キャンサースキャン</t>
  </si>
  <si>
    <t>https://cancerscan.jp/</t>
  </si>
  <si>
    <t>健診受診率向上事業 / 生活習慣病重症化予防事業 / 後期高齢者向け予防医療事業 / 医療費分析事業 / コンソーシアム型疾患啓発事業 / 調査研究事業</t>
  </si>
  <si>
    <t>東京都品川区西五反田1-3-8　五反田PLACE 2F</t>
  </si>
  <si>
    <t>福吉潤</t>
  </si>
  <si>
    <t>https://www.houjin-bangou.nta.go.jp/henkorireki-johoto.html?selHouzinNo=6011001062543</t>
  </si>
  <si>
    <t>ケアリッツ</t>
  </si>
  <si>
    <t>介護事業全般、ITシステム事業</t>
  </si>
  <si>
    <t>東京都新宿区新宿4-1-6　JR新宿ミライナタワー８階</t>
  </si>
  <si>
    <t>宮本剛宏</t>
  </si>
  <si>
    <t>https://www.houjin-bangou.nta.go.jp/henkorireki-johoto.html?selHouzinNo=6011101061817</t>
  </si>
  <si>
    <t>MEJ</t>
  </si>
  <si>
    <t>ヨーグレナ、ダイエットコーヒー、化粧品</t>
  </si>
  <si>
    <t>東京都港区芝5-29-11 G-BASE 田町2F</t>
  </si>
  <si>
    <t>古賀徹</t>
  </si>
  <si>
    <t>ユーグレナ</t>
  </si>
  <si>
    <t>https://www.houjin-bangou.nta.go.jp/henkorireki-johoto.html?selHouzinNo=6010401078983</t>
  </si>
  <si>
    <t>Hospitality One</t>
  </si>
  <si>
    <t>床ずれの処置やガーゼの交換、健康状態の管理等、医療行為や療養上のお世話、診察の補助など</t>
  </si>
  <si>
    <t>東京都港区浜松町2-2-15 浜松町ダイヤビル2F</t>
  </si>
  <si>
    <t>高丸慶</t>
  </si>
  <si>
    <t>https://www.houjin-bangou.nta.go.jp/henkorireki-johoto.html?selHouzinNo=9011001073018</t>
  </si>
  <si>
    <t>ヘルスセンシング</t>
  </si>
  <si>
    <t>http://www.health-sensing.co.jp/</t>
  </si>
  <si>
    <t>睡眠、ストレスなどのウェアラブル機器など。医療機器製造および販売、電子デバイス製造業</t>
  </si>
  <si>
    <t>東京都八王子市七国六丁目７番１３号</t>
  </si>
  <si>
    <t>鐘ヶ江正巳</t>
  </si>
  <si>
    <t>https://www.houjin-bangou.nta.go.jp/henkorireki-johoto.html?selHouzinNo=5010701026354</t>
  </si>
  <si>
    <t>クラシコ</t>
  </si>
  <si>
    <t>クリニックチェーン</t>
  </si>
  <si>
    <t>白衣・スクラブの企画・製造・販売</t>
  </si>
  <si>
    <t>東京都港区赤坂9-5-12 パークサイドシックス 2F/B1F</t>
  </si>
  <si>
    <t>大和新</t>
  </si>
  <si>
    <t>https://www.houjin-bangou.nta.go.jp/henkorireki-johoto.html?selHouzinNo=4011001062719</t>
  </si>
  <si>
    <t>株式会社スリーサイズ</t>
  </si>
  <si>
    <t>https://www.three-sides.co.jp/company</t>
  </si>
  <si>
    <t>接骨院業界に関わる求人募集・店舗業務・治療・患者に合ったIoTやAIを用いた製品やサービスを提供</t>
  </si>
  <si>
    <t>福岡県福岡市博多区下川端町2-1博多座西銀ビル 7F</t>
  </si>
  <si>
    <t>宮﨑剛</t>
  </si>
  <si>
    <t>https://www.houjin-bangou.nta.go.jp/henkorireki-johoto.html?selHouzinNo=3290001031475</t>
  </si>
  <si>
    <t>リジョブ</t>
  </si>
  <si>
    <t>美容・ヘルスケア業界に特化した求人メディア事業、キャリアデザイン事業、CSV推進プロジェクト</t>
  </si>
  <si>
    <t>東京都豊島区東池袋3-1-1　サンシャイン60　47F</t>
  </si>
  <si>
    <t>鈴木一平</t>
  </si>
  <si>
    <t>https://www.houjin-bangou.nta.go.jp/henkorireki-johoto.html?selHouzinNo=1011101054486</t>
  </si>
  <si>
    <t>ヘルスケアシステムズ</t>
  </si>
  <si>
    <t>https://hc-sys.com/</t>
  </si>
  <si>
    <t>簡易検査</t>
  </si>
  <si>
    <t>在宅検査サービス、受託検査業務</t>
  </si>
  <si>
    <t>愛知県</t>
  </si>
  <si>
    <t>愛知県名古屋市昭和区白金一丁目14番18号</t>
  </si>
  <si>
    <t>瀧本陽介</t>
  </si>
  <si>
    <t>https://www.houjin-bangou.nta.go.jp/henkorireki-johoto.html?selHouzinNo=5180001070417</t>
  </si>
  <si>
    <t>Medley(メドレー)</t>
  </si>
  <si>
    <t>オンライン診療、人材採用システム</t>
  </si>
  <si>
    <t>東京都港区六本木3-2-1 住友不動産六本木グランドタワー22F</t>
  </si>
  <si>
    <t>瀧口浩平</t>
  </si>
  <si>
    <t>株式会社NaClメディカル、MEDS株式会社、株式会社オーティーオー、株式会社パシフィックメディカル、株式会社メディパス</t>
  </si>
  <si>
    <t>https://www.houjin-bangou.nta.go.jp/henkorireki-johoto.html?selHouzinNo=4010401082351</t>
  </si>
  <si>
    <t>インテグリティヘルスケア</t>
  </si>
  <si>
    <t>https://www.integrity-healthcare.co.jp/</t>
  </si>
  <si>
    <t>オンライン診療・疾患管理・PHRシステムの開発、提供</t>
  </si>
  <si>
    <t>東京都中央区日本橋蛎殻町1-27-5 YAMATO B.L.D</t>
  </si>
  <si>
    <t>武藤真祐</t>
  </si>
  <si>
    <t>https://www.houjin-bangou.nta.go.jp/henkorireki-johoto.html?selHouzinNo=3010001128547</t>
  </si>
  <si>
    <t>カラダノート</t>
  </si>
  <si>
    <t>ファミリーデータプラットフォーム、保険代理、人材、アプリ開発</t>
  </si>
  <si>
    <t>東京都港区芝浦3-8-10　MA芝浦ビル6階</t>
  </si>
  <si>
    <t>佐藤竜也</t>
  </si>
  <si>
    <t>https://www.houjin-bangou.nta.go.jp/henkorireki-johoto.html?selHouzinNo=7010401079733</t>
  </si>
  <si>
    <t>C2</t>
  </si>
  <si>
    <t>https://www.c2inc.co.jp/co.php</t>
  </si>
  <si>
    <t>睡眠管理や疾患・治療薬DB管理アプリケーション企画及び開発</t>
  </si>
  <si>
    <t>東京都文京区湯島2丁目29番3号　湯島太田ビル4F</t>
  </si>
  <si>
    <t>安田昭夫</t>
  </si>
  <si>
    <t>トライアンフコーポレーション</t>
  </si>
  <si>
    <t>https://www.houjin-bangou.nta.go.jp/henkorireki-johoto.html?selHouzinNo=2010001130132</t>
  </si>
  <si>
    <t>シオングループ</t>
  </si>
  <si>
    <t>https://sion-group.com/</t>
  </si>
  <si>
    <t>ヘルスケア系ではワークシェア人材系のtaskel、情報共有のケアナレやコンサルティング</t>
  </si>
  <si>
    <t>東京都港区芝2-3-9VORT芝公園Ⅱ 2階</t>
  </si>
  <si>
    <t>井上勉</t>
  </si>
  <si>
    <t>https://www.houjin-bangou.nta.go.jp/henkorireki-johoto.html?selHouzinNo=6011001066651</t>
  </si>
  <si>
    <t>ミーカンパニー</t>
  </si>
  <si>
    <t>病院・薬局・歯科検索の『SCUEL』</t>
  </si>
  <si>
    <t>東京都新宿区四谷4-33-2 マーキュリースクエア2F</t>
  </si>
  <si>
    <t>前田健太郎</t>
  </si>
  <si>
    <t>JMDC(ノーリツ鋼機株式会社グループ会社)</t>
  </si>
  <si>
    <t>https://www.houjin-bangou.nta.go.jp/henkorireki-johoto.html?selHouzinNo=1010401091207</t>
  </si>
  <si>
    <t>シェアリング・ビューティー</t>
  </si>
  <si>
    <t>美容健康医療業界に特化したWEBサービス</t>
  </si>
  <si>
    <t>東京都目黒区青葉台3丁目1－12青葉台イーストビル1階</t>
  </si>
  <si>
    <t>坂本幸蔵</t>
  </si>
  <si>
    <t>https://www.houjin-bangou.nta.go.jp/henkorireki-johoto.html?selHouzinNo=5011101038270</t>
  </si>
  <si>
    <t>リーズンホワイ</t>
  </si>
  <si>
    <t>専門医マッチング、オンライン診療</t>
  </si>
  <si>
    <t>東京都港区赤坂1丁目9番13号 三会堂ビル7階</t>
  </si>
  <si>
    <t>塩飽哲生</t>
  </si>
  <si>
    <t>https://www.houjin-bangou.nta.go.jp/henkorireki-johoto.html?selHouzinNo=8010401094698</t>
  </si>
  <si>
    <t>iCare</t>
  </si>
  <si>
    <t>健康管理システム「Carely」の企画・開発・運営</t>
  </si>
  <si>
    <t>東京都渋谷区恵比寿1丁目23-23 恵比寿スクエア 5階</t>
  </si>
  <si>
    <t>山田洋太</t>
  </si>
  <si>
    <t>https://www.houjin-bangou.nta.go.jp/henkorireki-johoto.html?selHouzinNo=2010401094225</t>
  </si>
  <si>
    <t>Avenir</t>
  </si>
  <si>
    <t>産業医クラウドサービス、医師キャリア支援サービス</t>
  </si>
  <si>
    <t>東京都港区赤坂 3-16-11東海赤坂ビル4階</t>
  </si>
  <si>
    <t>刀禰真之介</t>
  </si>
  <si>
    <t>メンタルヘルステクノロジーズ</t>
  </si>
  <si>
    <t>https://www.houjin-bangou.nta.go.jp/henkorireki-johoto.html?selHouzinNo=8010601041269</t>
  </si>
  <si>
    <t>aba</t>
  </si>
  <si>
    <t>排泄ケアシステム、介護事業支援コンサル</t>
  </si>
  <si>
    <t>千葉県</t>
  </si>
  <si>
    <t>千葉県船橋市前原東3-30-5</t>
  </si>
  <si>
    <t>宇井吉美</t>
  </si>
  <si>
    <t>株式会社ヤマシタ(業務提携)</t>
  </si>
  <si>
    <t>https://www.houjin-bangou.nta.go.jp/henkorireki-johoto.html?selHouzinNo=9040001064791</t>
  </si>
  <si>
    <t>ラフール</t>
  </si>
  <si>
    <t>社員のストレス状態、ストレス要因の特定、企業がもつ根本的な課題を正確に把握し、最適なソリューションを提供するサービス。2019年に7億円の資金調達を実施</t>
  </si>
  <si>
    <t xml:space="preserve">東京都中央区日本橋茅場町2-9-5 日進ビル7階 </t>
  </si>
  <si>
    <t>結城啓太</t>
  </si>
  <si>
    <t>https://www.houjin-bangou.nta.go.jp/henkorireki-johoto.html?selHouzinNo=5010701025926</t>
  </si>
  <si>
    <t>産業医クラウド</t>
  </si>
  <si>
    <t>東京都港区赤坂3-16-11 東海赤坂ビル4階</t>
  </si>
  <si>
    <t>https://www.houjin-bangou.nta.go.jp/henkorireki-johoto.html?selHouzinNo=2010701026514</t>
  </si>
  <si>
    <t>ウェルビー</t>
  </si>
  <si>
    <t>カルテ、生活習慣病コーチングサービス、血糖値ノート</t>
  </si>
  <si>
    <t>東京都中央区日本橋本町二丁目7番1号 野村不動産日本橋本町ビル3階</t>
  </si>
  <si>
    <t>比木武</t>
  </si>
  <si>
    <t>ウェルビーヘルスケア株式会社</t>
  </si>
  <si>
    <t>https://www.houjin-bangou.nta.go.jp/henkorireki-johoto.html?selHouzinNo=9011001070865</t>
  </si>
  <si>
    <t>ウェルネルデータ</t>
  </si>
  <si>
    <t>ユーザー視点にたった医療ビッグデータサービスを提供</t>
  </si>
  <si>
    <t>東京都千代田区平河町２丁目１６番１号</t>
  </si>
  <si>
    <t>星野栄輔</t>
  </si>
  <si>
    <t>https://www.houjin-bangou.nta.go.jp/henkorireki-johoto.html?selHouzinNo=4010401097060</t>
  </si>
  <si>
    <t>noom</t>
  </si>
  <si>
    <t>元はアメリカ</t>
  </si>
  <si>
    <t>東京都渋谷区渋谷２丁目２４番１２号渋谷スクランブルスクエア３９Ｆ</t>
  </si>
  <si>
    <t>Saeju Jeong</t>
  </si>
  <si>
    <t>https://www.houjin-bangou.nta.go.jp/henkorireki-johoto.html?selHouzinNo=8010401119918</t>
  </si>
  <si>
    <t>テンクー</t>
  </si>
  <si>
    <t>ゲノムおよび生体情報解析のトータルソリューション Chrovis の開発と運用</t>
  </si>
  <si>
    <t>東京都文京区本郷2-40-8 本郷三丁目THビル6階</t>
  </si>
  <si>
    <t>西村邦裕</t>
  </si>
  <si>
    <t>https://www.houjin-bangou.nta.go.jp/henkorireki-johoto.html?selHouzinNo=3010001139230</t>
  </si>
  <si>
    <t>ミナケア</t>
  </si>
  <si>
    <t>健康経営・コラボヘルス支援事業やデータヘルス支援事業などを展開</t>
  </si>
  <si>
    <t>東京都千代田区内神田1-1-7 東大手ビル4階</t>
  </si>
  <si>
    <t>山本雄士</t>
  </si>
  <si>
    <t>https://www.houjin-bangou.nta.go.jp/henkorireki-johoto.html?selHouzinNo=9010401095101</t>
  </si>
  <si>
    <t>ポート株式会社</t>
  </si>
  <si>
    <t>採用支援サービス</t>
  </si>
  <si>
    <t>東京都新宿区西新宿８丁目１７番１号</t>
  </si>
  <si>
    <t>春日博文</t>
  </si>
  <si>
    <t>https://www.houjin-bangou.nta.go.jp/henkorireki-johoto.html?selHouzinNo=8011001069074</t>
  </si>
  <si>
    <t>untickle</t>
  </si>
  <si>
    <t>アトピー性皮膚炎の人の為のウェブサービスの運営</t>
  </si>
  <si>
    <t>東京都港区赤坂7-2-17 赤坂中央マンション 507</t>
  </si>
  <si>
    <t>野村千代</t>
  </si>
  <si>
    <t>https://www.houjin-bangou.nta.go.jp/henkorireki-johoto.html?selHouzinNo=5011001097367</t>
  </si>
  <si>
    <t>MediPrime</t>
  </si>
  <si>
    <t>医療機関向けのシステム運用やインフラ整備</t>
  </si>
  <si>
    <t>東京都小平市上水本町5-17-4</t>
  </si>
  <si>
    <t>河野弘幸</t>
  </si>
  <si>
    <t>株式会社ＭＰストラクト、株式会社Ｋ-ウィンズ</t>
  </si>
  <si>
    <t>https://www.houjin-bangou.nta.go.jp/henkorireki-johoto.html?selHouzinNo=2140001034246</t>
  </si>
  <si>
    <t>NICOLY</t>
  </si>
  <si>
    <t>美容整形の見積もりアプリの開発・運営</t>
  </si>
  <si>
    <t>東京都千代田区平河町２丁目５番地３号永田町グリッド</t>
  </si>
  <si>
    <t>檜垣雄介</t>
  </si>
  <si>
    <t>https://www.houjin-bangou.nta.go.jp/henkorireki-johoto.html?selHouzinNo=2011301018406</t>
  </si>
  <si>
    <t>株式会社eWeLL</t>
  </si>
  <si>
    <t>訪問看護専用電カルの開発・販売</t>
  </si>
  <si>
    <t>大阪府大阪市中央区備後町3-3-3 サンビル備後町9F</t>
  </si>
  <si>
    <t>中野剛人</t>
  </si>
  <si>
    <t>https://www.houjin-bangou.nta.go.jp/henkorireki-johoto.html?selHouzinNo=1120001171257</t>
  </si>
  <si>
    <t>株式会社ミルテル</t>
  </si>
  <si>
    <t>遺伝子検査業務を行う衛生検査センター</t>
  </si>
  <si>
    <t>広島市南区出汐一丁目2番10号</t>
  </si>
  <si>
    <t>田原栄俊</t>
  </si>
  <si>
    <t>https://www.houjin-bangou.nta.go.jp/henkorireki-johoto.html?selHouzinNo=8240001043116</t>
  </si>
  <si>
    <t>ドクターズモバイル</t>
  </si>
  <si>
    <t>医療機器向けソリューション開発</t>
  </si>
  <si>
    <t>東京都港区六本木４丁目８番７号六本木嶋田ビル５Ｆ</t>
  </si>
  <si>
    <t>中尾彰宏</t>
  </si>
  <si>
    <t>https://www.houjin-bangou.nta.go.jp/henkorireki-johoto.html?selHouzinNo=4010401103256</t>
  </si>
  <si>
    <t>ウンログ</t>
  </si>
  <si>
    <t>観便を利用した健康管理・健康増進サービスの開発、販売</t>
  </si>
  <si>
    <t>東京都渋谷区代々木2-23-1　ニューステイトメナー107</t>
  </si>
  <si>
    <t>田口敬</t>
  </si>
  <si>
    <t>田口たかし</t>
  </si>
  <si>
    <t>https://www.houjin-bangou.nta.go.jp/henkorireki-johoto.html?selHouzinNo=9011003004706</t>
  </si>
  <si>
    <t>JOMDD</t>
  </si>
  <si>
    <t>医療機器の研究開発・販売、医療コンサルも</t>
  </si>
  <si>
    <t>東京都中央区日本橋本町二丁目3番11号
日本橋ライフサイエンスビルディング 601号室</t>
  </si>
  <si>
    <t>内田毅彦</t>
  </si>
  <si>
    <t>https://www.houjin-bangou.nta.go.jp/henkorireki-johoto.html?selHouzinNo=1010001149132</t>
  </si>
  <si>
    <t>FiNC</t>
  </si>
  <si>
    <t>健康管理サービス</t>
  </si>
  <si>
    <t>東京都千代田区神田錦町２丁目２番地１ＫＡＮＤＡＳＱＵＡＲＥ１１Ｆ</t>
  </si>
  <si>
    <t>溝口勇児</t>
  </si>
  <si>
    <t>南野充則</t>
  </si>
  <si>
    <t>株式会社FiNC Technologys</t>
  </si>
  <si>
    <t>https://www.houjin-bangou.nta.go.jp/henkorireki-johoto.html?selHouzinNo=8010401099235</t>
  </si>
  <si>
    <t>KOMPEITO(オフィスで野菜)</t>
  </si>
  <si>
    <t>日本のオフィスを健康にするOFFICE DE YASAIの企画・運営</t>
  </si>
  <si>
    <t>東京都渋谷区渋谷３丁目２６番８号</t>
  </si>
  <si>
    <t>川岸亮造</t>
  </si>
  <si>
    <t>渡邉瞬</t>
  </si>
  <si>
    <t>https://www.houjin-bangou.nta.go.jp/henkorireki-johoto.html?selHouzinNo=1010401101634</t>
  </si>
  <si>
    <t>医療法人社団ナイズ</t>
  </si>
  <si>
    <t>CAPSが運営会社</t>
  </si>
  <si>
    <t>東京都渋谷区猿楽町１７番５号代官山蔦屋書店１号館３階</t>
  </si>
  <si>
    <t>白岡亮平</t>
  </si>
  <si>
    <t>CAPS株式会社</t>
  </si>
  <si>
    <t>https://www.houjin-bangou.nta.go.jp/henkorireki-johoto.html?selHouzinNo=2011705001180</t>
  </si>
  <si>
    <t>OKAN</t>
  </si>
  <si>
    <t>8013301033098</t>
  </si>
  <si>
    <t>社食サービスや組織改善サービス</t>
  </si>
  <si>
    <t>東京都豊島区南池袋1-16-15ダイヤゲート池袋10階</t>
  </si>
  <si>
    <t>沢木恵太</t>
  </si>
  <si>
    <t>https://www.houjin-bangou.nta.go.jp/henkorireki-johoto.html?selHouzinNo=8013301033098</t>
  </si>
  <si>
    <t>ファルモ</t>
  </si>
  <si>
    <t>2010901030365</t>
  </si>
  <si>
    <t>https://pharumo.jp/#corporate-information</t>
  </si>
  <si>
    <t>株式会社エムティーアイの連結子会社
薬局DX及び人材業</t>
  </si>
  <si>
    <t>東京都新宿区西新宿3-20-2
東京オペラシティータワー 52F</t>
  </si>
  <si>
    <t>広井嘉栄</t>
  </si>
  <si>
    <t>株式会社株式会社エムティーアイ</t>
  </si>
  <si>
    <t>https://www.houjin-bangou.nta.go.jp/henkorireki-johoto.html?selHouzinNo=2010901030365</t>
  </si>
  <si>
    <t>Recovery International</t>
  </si>
  <si>
    <t>3011101068278</t>
  </si>
  <si>
    <t>訪問介護サービスを展開</t>
  </si>
  <si>
    <t>東京都新宿区西新宿 6-16-12　第一丸善ビル6F</t>
  </si>
  <si>
    <t>大河原峻</t>
  </si>
  <si>
    <t>https://www.houjin-bangou.nta.go.jp/henkorireki-johoto.html?selHouzinNo=3011101068278</t>
  </si>
  <si>
    <t>一般社団法人JIGH</t>
  </si>
  <si>
    <t>7010005017643</t>
  </si>
  <si>
    <t>医療/保健分野に係る政策提言及び調査，研究など</t>
  </si>
  <si>
    <t>東京都港区赤坂２丁目１４番５号Ｄａｉｗａ赤坂ビル７階</t>
  </si>
  <si>
    <t>渋谷健司</t>
  </si>
  <si>
    <t>https://www.houjin-bangou.nta.go.jp/henkorireki-johoto.html?selHouzinNo=7010005017643</t>
  </si>
  <si>
    <t>株式会社ＧＭＪ</t>
  </si>
  <si>
    <t>1011501017654</t>
  </si>
  <si>
    <t>医師のインタビューを発信しているWebメディア「CoffeeDoctors」を運営</t>
  </si>
  <si>
    <t>神奈川県川崎市中原区下沼部１７６０</t>
  </si>
  <si>
    <t>照山裕爾</t>
  </si>
  <si>
    <t>https://www.houjin-bangou.nta.go.jp/henkorireki-johoto.html?selHouzinNo=1011501017654</t>
  </si>
  <si>
    <t>ドリコス</t>
  </si>
  <si>
    <t>8021001047285</t>
  </si>
  <si>
    <t>ジムや女性向けサプリメントの販売</t>
  </si>
  <si>
    <t>東京都文京区湯島3-7-7　オーシャンズファイブ5F</t>
  </si>
  <si>
    <t>竹康宏</t>
  </si>
  <si>
    <t>https://www.houjin-bangou.nta.go.jp/henkorireki-johoto.html?selHouzinNo=8021001047285</t>
  </si>
  <si>
    <t>ミナカラ</t>
  </si>
  <si>
    <t>1011101068461</t>
  </si>
  <si>
    <t>https://about.minacolor.com/</t>
  </si>
  <si>
    <t>オンライン薬局サービス</t>
  </si>
  <si>
    <t>東京都千代田区内神田３丁目１８ー３　SDビル4階</t>
  </si>
  <si>
    <t>喜納信也</t>
  </si>
  <si>
    <t>https://www.houjin-bangou.nta.go.jp/henkorireki-johoto.html?selHouzinNo=1011101068461</t>
  </si>
  <si>
    <t>DentaLight</t>
  </si>
  <si>
    <t>9290001064395</t>
  </si>
  <si>
    <t>http://dentalight.co.jp/</t>
  </si>
  <si>
    <t>歯科医関連ITサービスの提供</t>
  </si>
  <si>
    <t>福岡県福岡市博多区店屋町８番２７号</t>
  </si>
  <si>
    <t>藤久保元希</t>
  </si>
  <si>
    <t>https://www.houjin-bangou.nta.go.jp/henkorireki-johoto.html?selHouzinNo=9290001064395</t>
  </si>
  <si>
    <t>ニューロスペース</t>
  </si>
  <si>
    <t>1010001157647</t>
  </si>
  <si>
    <t>大手企業を主な顧客とした睡眠改善プログラムの提供</t>
  </si>
  <si>
    <t>東京都墨田区横川1-16-3 横川倉庫2F センターオブガレージ</t>
  </si>
  <si>
    <t>小林孝徳</t>
  </si>
  <si>
    <t>https://www.houjin-bangou.nta.go.jp/henkorireki-johoto.html?selHouzinNo=1010001157647</t>
  </si>
  <si>
    <t>ジーンクエスト</t>
  </si>
  <si>
    <t>4010401106424</t>
  </si>
  <si>
    <t>ユーグレナの子会社
遺伝子解析キットの販売</t>
  </si>
  <si>
    <t>東京都港区芝五丁目29番11号　G-BASE田町</t>
  </si>
  <si>
    <t>高橋祥子</t>
  </si>
  <si>
    <t>株式会社ユーグレナ</t>
  </si>
  <si>
    <t>https://www.houjin-bangou.nta.go.jp/henkorireki-johoto.html?selHouzinNo=4010401106424</t>
  </si>
  <si>
    <t>Genomedia 株式会社</t>
  </si>
  <si>
    <t>1010001156780</t>
  </si>
  <si>
    <t>https://genomedia.jp/</t>
  </si>
  <si>
    <t>ゲノム解析サービス</t>
  </si>
  <si>
    <t>東京都文京区本郷 4-1-4常和本郷ビル</t>
  </si>
  <si>
    <t>山田智之</t>
  </si>
  <si>
    <t>https://www.houjin-bangou.nta.go.jp/henkorireki-johoto.html?selHouzinNo=1010001156780</t>
  </si>
  <si>
    <t>株式会社ウェルモ</t>
  </si>
  <si>
    <t>8290001062747</t>
  </si>
  <si>
    <t>https://welmo.co.jp/</t>
  </si>
  <si>
    <t>介護Tech</t>
  </si>
  <si>
    <t>東京都千代⽥区内幸町1-1-6
NTT日比谷ビル4F</t>
  </si>
  <si>
    <t>⿅野佑介</t>
  </si>
  <si>
    <t>https://www.houjin-bangou.nta.go.jp/henkorireki-johoto.html?selHouzinNo=8290001062747</t>
  </si>
  <si>
    <t>クリプラ</t>
  </si>
  <si>
    <t>8011101068199</t>
  </si>
  <si>
    <t>MTIの連結子会社
クラウド電子カルテを提供</t>
  </si>
  <si>
    <t>東京都新宿区西新宿3-20-2 東京オペラシティタワー</t>
  </si>
  <si>
    <t>鐘江康一郎</t>
  </si>
  <si>
    <t>株式会社エムティーアイ</t>
  </si>
  <si>
    <t>https://www.houjin-bangou.nta.go.jp/henkorireki-johoto.html?selHouzinNo=8011101068199</t>
  </si>
  <si>
    <t>クアッガテクノロジーズ株式会社（旧きりんカルテ株式会社）</t>
  </si>
  <si>
    <t>9290001064750</t>
  </si>
  <si>
    <t>PHC株式会社にクラウド型電子カルテの運用及び開発の事業「きりんカルテ」を譲渡
その後社名をクアッガテクノロジーズに社名変更</t>
  </si>
  <si>
    <t>福岡県福岡市博多区博多駅前4-3-22 産恵ビル5F</t>
  </si>
  <si>
    <t>山口太一</t>
  </si>
  <si>
    <t>永用万人</t>
  </si>
  <si>
    <t>https://www.houjin-bangou.nta.go.jp/henkorireki-johoto.html?selHouzinNo=9290001064750</t>
  </si>
  <si>
    <t>Dr.Joy</t>
  </si>
  <si>
    <t>4010401108924</t>
  </si>
  <si>
    <t>医療機関の勤怠管理やMRとの面会記録等のソフトウェア開発および運用</t>
  </si>
  <si>
    <t>東京都渋谷区渋谷１丁目１７番４号</t>
  </si>
  <si>
    <t>石松宏章</t>
  </si>
  <si>
    <t>Dr.Joy Viet Nam</t>
  </si>
  <si>
    <t>https://www.houjin-bangou.nta.go.jp/henkorireki-johoto.html?selHouzinNo=4010401108924</t>
  </si>
  <si>
    <t>ユニファ</t>
  </si>
  <si>
    <t>8180301025753</t>
  </si>
  <si>
    <t>保育施設むけの記録管理サービスを提供</t>
  </si>
  <si>
    <t>東京都千代田区富士見1-8-19 住友不動産千代田富士見ビル 2F</t>
  </si>
  <si>
    <t>土岐泰之</t>
  </si>
  <si>
    <t>https://www.houjin-bangou.nta.go.jp/henkorireki-johoto.html?selHouzinNo=8180301025753</t>
  </si>
  <si>
    <t>エバーセンス</t>
  </si>
  <si>
    <t>5010001151332</t>
  </si>
  <si>
    <t>妊活／妊娠・出産／育児／ライフスタイルの領域で、ウェブサービスやアプリを提供</t>
  </si>
  <si>
    <t>東京都中央区日本橋久松町4-7 グリームス日本橋8F</t>
  </si>
  <si>
    <t>牧野哲也</t>
  </si>
  <si>
    <t>株式会社コジカジ
株式会社ノーススター</t>
  </si>
  <si>
    <t>https://www.houjin-bangou.nta.go.jp/henkorireki-johoto.html?selHouzinNo=5010001151332</t>
  </si>
  <si>
    <t>DoctorBook</t>
  </si>
  <si>
    <t>5011001097788</t>
  </si>
  <si>
    <t>オンライン歯科相談や医師が発信するメディアの運営等</t>
  </si>
  <si>
    <t>東京都千代田区内神田一丁目14番10号 ＰＭＯ内神田　11F</t>
  </si>
  <si>
    <t>相馬理人</t>
  </si>
  <si>
    <t>https://www.houjin-bangou.nta.go.jp/henkorireki-johoto.html?selHouzinNo=5011001097788</t>
  </si>
  <si>
    <t>Moff</t>
  </si>
  <si>
    <t>2011001097015</t>
  </si>
  <si>
    <t xml:space="preserve">介護事業者向けのセンサー活用のリハビリ・機能訓練サービス提供など
</t>
  </si>
  <si>
    <t>東京都港区六本木三丁目1番1号 六本木ティーキューブ14階</t>
  </si>
  <si>
    <t>高萩昭範</t>
  </si>
  <si>
    <t>土田泰広</t>
  </si>
  <si>
    <t>https://www.houjin-bangou.nta.go.jp/henkorireki-johoto.html?selHouzinNo=2011001097015</t>
  </si>
  <si>
    <t>ユカシカド</t>
  </si>
  <si>
    <t>7140001090053</t>
  </si>
  <si>
    <t>尿を用いた栄養状態検査</t>
  </si>
  <si>
    <t>東京都渋谷区神宮前5-53−67 コスモス青山 コスモスサウス302</t>
  </si>
  <si>
    <t>美濃部慎也</t>
  </si>
  <si>
    <t>https://www.houjin-bangou.nta.go.jp/henkorireki-johoto.html?selHouzinNo=7140001090053</t>
  </si>
  <si>
    <t>クオンタムバイオシステムズ</t>
  </si>
  <si>
    <t>7120901032172</t>
  </si>
  <si>
    <t>1分子解析技術に基づく独自のDNAシークエンサー「Quantum Sequencing™」の開発</t>
  </si>
  <si>
    <t>大阪府大阪市淀川区西中島５丁目８番３号新大阪サンアールビル北館６０１号室</t>
  </si>
  <si>
    <t>本蔵俊彦</t>
  </si>
  <si>
    <t>本藏俊彦</t>
  </si>
  <si>
    <t>https://www.houjin-bangou.nta.go.jp/henkorireki-johoto.html?selHouzinNo=7120901032172</t>
  </si>
  <si>
    <t>メディカルエージェンシー</t>
  </si>
  <si>
    <t>7011001098017</t>
  </si>
  <si>
    <r>
      <rPr>
        <rFont val="Arial"/>
        <color theme="1"/>
      </rPr>
      <t xml:space="preserve">エムスリーの子会社化: </t>
    </r>
    <r>
      <rPr>
        <rFont val="Arial"/>
        <color rgb="FF1155CC"/>
        <u/>
      </rPr>
      <t>https://corporate.m3.com/ir/release/2019/pdf/20190705_01.pdf</t>
    </r>
    <r>
      <rPr>
        <rFont val="Arial"/>
        <color theme="1"/>
      </rPr>
      <t xml:space="preserve"> メディア運営、求人等</t>
    </r>
  </si>
  <si>
    <t>東京都港区赤坂１丁目１１番４４号</t>
  </si>
  <si>
    <t>輪違弘樹,今井俊太</t>
  </si>
  <si>
    <t>輪違弘樹</t>
  </si>
  <si>
    <t>https://www.houjin-bangou.nta.go.jp/henkorireki-johoto.html?selHouzinNo=7011001098017</t>
  </si>
  <si>
    <t>stransa(ストランザ)</t>
  </si>
  <si>
    <t>4010401105780</t>
  </si>
  <si>
    <t>http://stransa.co.jp/</t>
  </si>
  <si>
    <t>歯科領域でのDX。予約システム等。</t>
  </si>
  <si>
    <t>東京都港区芝公園１丁目３番８号苔香園ビル６階</t>
  </si>
  <si>
    <t>西島彰一</t>
  </si>
  <si>
    <t>https://www.houjin-bangou.nta.go.jp/henkorireki-johoto.html?selHouzinNo=4010401105780</t>
  </si>
  <si>
    <t>エクスメディオ</t>
  </si>
  <si>
    <t>5490001007866</t>
  </si>
  <si>
    <r>
      <rPr>
        <rFont val="Arial"/>
        <color theme="1"/>
      </rPr>
      <t xml:space="preserve">UIが素晴らしい、マイナビ傘下に: </t>
    </r>
    <r>
      <rPr>
        <rFont val="Arial"/>
        <color rgb="FF1155CC"/>
        <u/>
      </rPr>
      <t>https://exmed.io/corporate/history.html</t>
    </r>
  </si>
  <si>
    <t>東京都千代田区麹町３丁目５番１号全共連ビル麹町館</t>
  </si>
  <si>
    <t>物部真一郎</t>
  </si>
  <si>
    <t>今泉英明</t>
  </si>
  <si>
    <t>マイナビ</t>
  </si>
  <si>
    <t>https://www.houjin-bangou.nta.go.jp/henkorireki-johoto.html?selHouzinNo=5490001007866</t>
  </si>
  <si>
    <t>グローマス</t>
  </si>
  <si>
    <t>1010401101898</t>
  </si>
  <si>
    <t>https://glomouth.co.jp/</t>
  </si>
  <si>
    <t>歯科医療の求人・人材など</t>
  </si>
  <si>
    <t>東京都千代田区神田東松下町３８番地鳥本鋼業ビル４階</t>
  </si>
  <si>
    <t>海田大介</t>
  </si>
  <si>
    <t>https://www.houjin-bangou.nta.go.jp/henkorireki-johoto.html?selHouzinNo=1010401101898</t>
  </si>
  <si>
    <t>メディカルノート</t>
  </si>
  <si>
    <t>7011001102645</t>
  </si>
  <si>
    <t>医療プラットフォーム、健康相談アプリなど</t>
  </si>
  <si>
    <t>東京都港区虎ノ門１丁目１７番１号</t>
  </si>
  <si>
    <t>梅田裕真</t>
  </si>
  <si>
    <t>梅田裕真、井上祥</t>
  </si>
  <si>
    <t>https://www.houjin-bangou.nta.go.jp/henkorireki-johoto.html?selHouzinNo=7011001102645</t>
  </si>
  <si>
    <t>サイキンソー</t>
  </si>
  <si>
    <t>6011101071774</t>
  </si>
  <si>
    <t>UIが素晴らしい、腸内フローラ検査による解析等。</t>
  </si>
  <si>
    <t>東京都渋谷区代々木１丁目３６番１号</t>
  </si>
  <si>
    <t>沢井悠</t>
  </si>
  <si>
    <t>https://www.houjin-bangou.nta.go.jp/henkorireki-johoto.html?selHouzinNo=6011101071774</t>
  </si>
  <si>
    <t>株式会社アカリエ</t>
  </si>
  <si>
    <t>3020001105859</t>
  </si>
  <si>
    <t>https://akarie.co.jp/company/</t>
  </si>
  <si>
    <t>旧アカリエヘルスケアカンパニー株式会社。介護事業、IT事業等。</t>
  </si>
  <si>
    <t>神奈川県横浜市神奈川区台町８番地１４号</t>
  </si>
  <si>
    <t>髙𣘺健一</t>
  </si>
  <si>
    <t>https://www.houjin-bangou.nta.go.jp/henkorireki-johoto.html?selHouzinNo=3020001105859</t>
  </si>
  <si>
    <t>メディカルデータカード</t>
  </si>
  <si>
    <t>5011101071602</t>
  </si>
  <si>
    <t>https://www.medaca.co.jp/</t>
  </si>
  <si>
    <t>医療情報を患者自身が管理するMeDaCaを提供。中部電力の連結子会社。</t>
  </si>
  <si>
    <t>東京都新宿区荒木町１番地２２四谷マンション２０３</t>
  </si>
  <si>
    <t>鈴木康之</t>
  </si>
  <si>
    <t>中部電力</t>
  </si>
  <si>
    <t>https://www.houjin-bangou.nta.go.jp/henkorireki-johoto.html?selHouzinNo=5011101071602</t>
  </si>
  <si>
    <t>シェアメディカル</t>
  </si>
  <si>
    <t>7010901034790</t>
  </si>
  <si>
    <t>https://www.sharemedical.jp/about</t>
  </si>
  <si>
    <t>デジタル聴診機器、医療用チャット。スピンアウトによる。</t>
  </si>
  <si>
    <t>東京都千代田区大手町１丁目６番１号</t>
  </si>
  <si>
    <t>峯啓真</t>
  </si>
  <si>
    <t>https://www.houjin-bangou.nta.go.jp/henkorireki-johoto.html?selHouzinNo=7010901034790</t>
  </si>
  <si>
    <t>リバーフィールド</t>
  </si>
  <si>
    <t>6011101070090</t>
  </si>
  <si>
    <t>手術支援ロボットの開発。東工大等発。</t>
  </si>
  <si>
    <t>東京都新宿区左門町２０番地</t>
  </si>
  <si>
    <t>川嶋健嗣,只野耕太郎,原口大輔,坂田淳一</t>
  </si>
  <si>
    <t>只野耕太郎</t>
  </si>
  <si>
    <t>https://www.houjin-bangou.nta.go.jp/henkorireki-johoto.html?selHouzinNo=6011101070090</t>
  </si>
  <si>
    <t>LPIXEL(エルピクセル)</t>
  </si>
  <si>
    <t>2011001099036</t>
  </si>
  <si>
    <t>ライフサイエンス分野の画像解析。研究者支援。東大、東京理科大発。J-Startup企業。</t>
  </si>
  <si>
    <t>東京都千代田区大手町１丁目６－１</t>
  </si>
  <si>
    <t>島原佑基</t>
  </si>
  <si>
    <t>島原佑基
鎌田富久</t>
  </si>
  <si>
    <t>https://www.houjin-bangou.nta.go.jp/henkorireki-johoto.html?selHouzinNo=2011001099036</t>
  </si>
  <si>
    <t>株式会社cotree</t>
  </si>
  <si>
    <t>8011001100136</t>
  </si>
  <si>
    <t>https://cotree.co/company</t>
  </si>
  <si>
    <r>
      <rPr>
        <rFont val="Arial"/>
        <color theme="1"/>
      </rPr>
      <t xml:space="preserve">カウンセリングプラットフォーム。コーポレートサイト: </t>
    </r>
    <r>
      <rPr>
        <rFont val="Arial"/>
        <color rgb="FF1155CC"/>
        <u/>
      </rPr>
      <t>https://cotree.co/</t>
    </r>
    <r>
      <rPr>
        <rFont val="Arial"/>
        <color theme="1"/>
      </rPr>
      <t xml:space="preserve"> 。</t>
    </r>
  </si>
  <si>
    <t>東京都中央区日本橋小網町１１－８</t>
  </si>
  <si>
    <t>櫻本真理</t>
  </si>
  <si>
    <t>株式会社コーチェット</t>
  </si>
  <si>
    <t>https://www.houjin-bangou.nta.go.jp/henkorireki-johoto.html?selHouzinNo=8011001100136</t>
  </si>
  <si>
    <t>8010401115875</t>
  </si>
  <si>
    <t>https://www.caps365.jp/</t>
  </si>
  <si>
    <t>500Startup投資先、クリニックチェーンのマネジメント等。</t>
  </si>
  <si>
    <t>東京都港区六本木７丁目１８番１８号住友不動産六本木通ビル</t>
  </si>
  <si>
    <t>https://www.houjin-bangou.nta.go.jp/henkorireki-johoto.html?selHouzinNo=8010401115875</t>
  </si>
  <si>
    <t>CureApp</t>
  </si>
  <si>
    <t>2011101070788</t>
  </si>
  <si>
    <t>ニコチン依存症治療アプリ。合計21億円の資金調達。J-Startup採択など。</t>
  </si>
  <si>
    <t>東京都中央区日本橋小伝馬町１２－５小伝馬町ＹＳビル４階</t>
  </si>
  <si>
    <t>佐竹晃太,鈴木晋</t>
  </si>
  <si>
    <t>佐竹晃太、鈴木晋</t>
  </si>
  <si>
    <t>米国子会社: CureApp North America, Inc.</t>
  </si>
  <si>
    <t>https://www.houjin-bangou.nta.go.jp/henkorireki-johoto.html?selHouzinNo=2011101070788</t>
  </si>
  <si>
    <t>サスメド</t>
  </si>
  <si>
    <t>7010003022232</t>
  </si>
  <si>
    <t>患者向け治療用アプリ、医薬品開発の臨床試験効率化。NEDO-STS等採択。</t>
  </si>
  <si>
    <t>東京都中央区日本橋本町３丁目８番５号</t>
  </si>
  <si>
    <t>上野太郎</t>
  </si>
  <si>
    <t>https://www.houjin-bangou.nta.go.jp/henkorireki-johoto.html?selHouzinNo=7010003022232</t>
  </si>
  <si>
    <t>ライフミール</t>
  </si>
  <si>
    <t>1011001099524</t>
  </si>
  <si>
    <t>メディア運営、料理教室など。</t>
  </si>
  <si>
    <t>東京都渋谷区渋谷２丁目１４番６号西田ビル５Ｆ</t>
  </si>
  <si>
    <t>豊田匠</t>
  </si>
  <si>
    <t>https://www.houjin-bangou.nta.go.jp/henkorireki-johoto.html?selHouzinNo=1011001099524</t>
  </si>
  <si>
    <t>Preferred Networks</t>
  </si>
  <si>
    <t>1010001159494</t>
  </si>
  <si>
    <t>深層学習等機械学習実用化のさまざまな事業。医療分野では、化合物解析、画像解析、血液によるがん早期診断等。受賞多数、資金調達100億円超。</t>
  </si>
  <si>
    <t>東京都千代田区大手町１丁目６番１号大手町ビル</t>
  </si>
  <si>
    <t>西川徹,岡野原大輔</t>
  </si>
  <si>
    <t>米国子会社: Preferred Networks America, Inc.、関連: PFDeNA</t>
  </si>
  <si>
    <t>https://www.houjin-bangou.nta.go.jp/henkorireki-johoto.html?selHouzinNo=1010001159494</t>
  </si>
  <si>
    <t>DeNAライフサイエンス</t>
  </si>
  <si>
    <t>6011001099437</t>
  </si>
  <si>
    <t>https://dena-ls.co.jp/</t>
  </si>
  <si>
    <t>唾液による簡易遺伝子検査、健康相談。</t>
  </si>
  <si>
    <t>東京都渋谷区渋谷２丁目２１番１号</t>
  </si>
  <si>
    <t>DeNA子会社</t>
  </si>
  <si>
    <t>米山拡志</t>
  </si>
  <si>
    <t>DeNA</t>
  </si>
  <si>
    <t>https://www.houjin-bangou.nta.go.jp/henkorireki-johoto.html?selHouzinNo=6011001099437</t>
  </si>
  <si>
    <t>アナムネ</t>
  </si>
  <si>
    <t>8010401114167</t>
  </si>
  <si>
    <t>https://www.anamne.com/</t>
  </si>
  <si>
    <t>オンライン医療相談など。フェムテック的要素。</t>
  </si>
  <si>
    <t>東京都中央区日本橋１丁目１３番１号日鉄日本橋ビル３階ＷＡＷ日本橋</t>
  </si>
  <si>
    <t>菅原康之</t>
  </si>
  <si>
    <t>https://www.houjin-bangou.nta.go.jp/henkorireki-johoto.html?selHouzinNo=8010401114167</t>
  </si>
  <si>
    <t>メトセラ</t>
  </si>
  <si>
    <t>3390001014412</t>
  </si>
  <si>
    <t>医療技術開発。プロジェクトは2014開始だが、企業の設立は2016年。筑波大・慶応義塾大発。J-Startup選定等。本店は山形県鶴岡市だが、ラボオフィスは神奈川県川崎市に所在。</t>
  </si>
  <si>
    <t>山形県</t>
  </si>
  <si>
    <t>山形県鶴岡市播磨字若松５１番地１</t>
  </si>
  <si>
    <t>岩宮貴紘,野上健一</t>
  </si>
  <si>
    <t>https://www.houjin-bangou.nta.go.jp/henkorireki-johoto.html?selHouzinNo=3390001014412</t>
  </si>
  <si>
    <t>HACARUS</t>
  </si>
  <si>
    <t>4130003003669</t>
  </si>
  <si>
    <t>スパースモデリングのAI技術応用。医療分野では医療機器や創薬等。</t>
  </si>
  <si>
    <t>京都府京都市中京区蛸薬師通烏丸西入ル橋弁慶町２２７第１２長谷ビル５階Ａ室</t>
  </si>
  <si>
    <t>藤原健真</t>
  </si>
  <si>
    <t>Hacarus Philippines Inc.</t>
  </si>
  <si>
    <t>https://www.houjin-bangou.nta.go.jp/henkorireki-johoto.html?selHouzinNo=4130003003669</t>
  </si>
  <si>
    <t>ワイズ</t>
  </si>
  <si>
    <t>9010001158489</t>
  </si>
  <si>
    <t>エムスリーと資本業務提携、リハビリやヘルスケアなど。英語名Y's, Inc.</t>
  </si>
  <si>
    <t>東京都港区赤坂２丁目１２番１０号</t>
  </si>
  <si>
    <t>早見泰弘,伊藤康祐</t>
  </si>
  <si>
    <t>早見泰弘</t>
  </si>
  <si>
    <t>https://www.houjin-bangou.nta.go.jp/henkorireki-johoto.html?selHouzinNo=9010001158489</t>
  </si>
  <si>
    <t>サイマックス</t>
  </si>
  <si>
    <t>4011801029058</t>
  </si>
  <si>
    <t>生体情報センシング技術による体調検査。J-Startup 2019など。代表は現在は鶴岡氏ではないとみられる（現在、代表取締役は中矢氏）ものの、ニュース・プレスリリース等発見できず。</t>
  </si>
  <si>
    <t>東京都港区麻布十番２丁目８番１０号</t>
  </si>
  <si>
    <t>鶴岡マリア</t>
  </si>
  <si>
    <t>中矢一也</t>
  </si>
  <si>
    <t>https://www.houjin-bangou.nta.go.jp/henkorireki-johoto.html?selHouzinNo=4011801029058</t>
  </si>
  <si>
    <t>エムスリーデジタルコミュニケーションズ(旧: M-CUBE)</t>
  </si>
  <si>
    <t>1010401110577</t>
  </si>
  <si>
    <t>現在は合弁を解消しエムスリー100%子会社に。医療関連領域のDX等。</t>
  </si>
  <si>
    <t>ブイキューブとエムスリーのJV</t>
  </si>
  <si>
    <t>新井浩二</t>
  </si>
  <si>
    <t>エムスリー株式会社</t>
  </si>
  <si>
    <t xml:space="preserve">M3 USA Corporation(アメリカ合衆国)
M3 Global Research(英国)
Doctors.net.uk Limited(英国)
Rotamaster (英国)
VIDAL France S.A. (フランス)
Medizinische Medien Informations GmbH (ドイツ)
VIDAL Vademecum Spain, S.A. (スペイン)
Medi C&amp;C Co.,Ltd.(韓国)
金葉天成（北京）科技有限公司(中国)
M3 India (インド)
アイチケット株式会社(日本)
メビックス株式会社(日本)
クリニカルポーター株式会社(日本)
エムスリーキャリア株式会社（日本）
リノ・メディカル株式会社（日本）
株式会社エムプラス（日本）
株式会社イスモ（日本）
株式会社MICメディカル（日本）
株式会社シィ・エム・エス（日本）
株式会社メディサイエンスプラニング（日本）
エムスリードクターサポート株式会社（日本）
REXA株式会社(日本)
エムスリーマーケティング株式会社（日本）
ノイエス株式会社（日本）
株式会社 ヌーベルプラス（日本）
POCクリニカルリサーチ株式会社（日本）
株式会社QLife（日本）
株式会社テコム（日本）
株式会社インフロント（日本）
株式会社インサイト・アイ（日本）
コスモテック株式会社（日本）
株式会社ジャメックス（日本） 
ソフィアメディ株式会社（日本） 
株式会社ワイズ（日本） 
株式会社アルメック（日本） 
エムスリークリニックエステート株式会社 （日本） </t>
  </si>
  <si>
    <t>https://www.houjin-bangou.nta.go.jp/henkorireki-johoto.html?selHouzinNo=1010401110577</t>
  </si>
  <si>
    <t>株式会社トライトキャリア（旧ティスメ）</t>
  </si>
  <si>
    <t>9120001182305</t>
  </si>
  <si>
    <t>https://tsme.jp/</t>
  </si>
  <si>
    <t>医療・福祉業界への人材紹介・派遣サービス等</t>
  </si>
  <si>
    <t>大阪府大阪市北区曾根崎２丁目１２番７号</t>
  </si>
  <si>
    <t>トライトグループ（旧TSグループ）子会社</t>
  </si>
  <si>
    <t>笹井英孝</t>
  </si>
  <si>
    <t>トライトグループ</t>
  </si>
  <si>
    <t>https://www.houjin-bangou.nta.go.jp/henkorireki-johoto.html?selHouzinNo=9120001182305</t>
  </si>
  <si>
    <t>Two</t>
  </si>
  <si>
    <t>2010401122308</t>
  </si>
  <si>
    <t>食品や入浴剤など健康関連商品を扱う</t>
  </si>
  <si>
    <t>東京都渋谷区猿楽町１０−１ マンサード代官山</t>
  </si>
  <si>
    <t>東義和</t>
  </si>
  <si>
    <t>https://www.houjin-bangou.nta.go.jp/henkorireki-johoto.html?selHouzinNo=2010401122308</t>
  </si>
  <si>
    <t>Mealthy</t>
  </si>
  <si>
    <t>4010401115219</t>
  </si>
  <si>
    <t>健康保険組合向け保健指導サポートや健康経営サポート</t>
  </si>
  <si>
    <t>埼玉県東松山市箭弓町１丁目１３番２０号</t>
  </si>
  <si>
    <t>鈴木勝之</t>
  </si>
  <si>
    <t>https://www.houjin-bangou.nta.go.jp/henkorireki-johoto.html?selHouzinNo=4010401115219</t>
  </si>
  <si>
    <t>トラヴォス</t>
  </si>
  <si>
    <t>9011001098766</t>
  </si>
  <si>
    <t>AIチャットボットによるセルフケアの支援</t>
  </si>
  <si>
    <t>東京都目黒区五本木３丁目１８番１３号</t>
  </si>
  <si>
    <t>篠原英良</t>
  </si>
  <si>
    <t>https://www.houjin-bangou.nta.go.jp/henkorireki-johoto.html?selHouzinNo=9011001098766</t>
  </si>
  <si>
    <t>HMCエデュケーション</t>
  </si>
  <si>
    <t>2010401115113</t>
  </si>
  <si>
    <t>http://hmc-e.com/</t>
  </si>
  <si>
    <t>ヘルスケア専門家養成に関する教育事業全般</t>
  </si>
  <si>
    <t>東京都世田谷区桜丘四丁目２４番３２号</t>
  </si>
  <si>
    <t>吉田純</t>
  </si>
  <si>
    <t>株式会社ヘルスメディカルコーチング，有限会社佐藤文誠社</t>
  </si>
  <si>
    <t>https://www.houjin-bangou.nta.go.jp/henkorireki-johoto.html?selHouzinNo=2010401115113</t>
  </si>
  <si>
    <t>ハルメクベンチャーズ</t>
  </si>
  <si>
    <t>1010001165030</t>
  </si>
  <si>
    <t>家庭用検査キットなどを販売</t>
  </si>
  <si>
    <t>東京都千代田区神田神保町2-2　共同ビル神保町</t>
  </si>
  <si>
    <t>ハルメク子会社(ノーリツ鋼機子会社)</t>
  </si>
  <si>
    <t>宮澤孝夫</t>
  </si>
  <si>
    <t>株式会社ハルメクホールディングス（100％子会社）</t>
  </si>
  <si>
    <t>https://www.houjin-bangou.nta.go.jp/henkorireki-johoto.html?selHouzinNo=1010001165030</t>
  </si>
  <si>
    <t>Trainy</t>
  </si>
  <si>
    <t>7011001102397</t>
  </si>
  <si>
    <t>ダイエットプログラムの提供</t>
  </si>
  <si>
    <t>東京都渋谷区神宮前６丁目２３番４号桑野ビル２階</t>
  </si>
  <si>
    <t>荒金正和</t>
  </si>
  <si>
    <t>https://www.houjin-bangou.nta.go.jp/henkorireki-johoto.html?selHouzinNo=7011001102397</t>
  </si>
  <si>
    <t>えぶりプラス</t>
  </si>
  <si>
    <t>7180001128618</t>
  </si>
  <si>
    <t>https://everyplus.jp/</t>
  </si>
  <si>
    <t>介護施設やレクリエーションが選べるプラットフォームを提供</t>
  </si>
  <si>
    <t>名古屋市中村区井深町1-1 新名古屋センタービル本陣街　241-1号</t>
  </si>
  <si>
    <t>佐藤亜以</t>
  </si>
  <si>
    <t>https://www.houjin-bangou.nta.go.jp/henkorireki-johoto.html?selHouzinNo=7180001128618</t>
  </si>
  <si>
    <t>株式会社UN5UNG BUT</t>
  </si>
  <si>
    <t>2290001067438</t>
  </si>
  <si>
    <t>https://un5ungbut.jp/</t>
  </si>
  <si>
    <t>化粧品OEM等</t>
  </si>
  <si>
    <t>東京都渋谷区神泉町10-10 アシジ神泉ビル9F</t>
  </si>
  <si>
    <t>オーガニックグループ株式会社</t>
  </si>
  <si>
    <t>https://www.houjin-bangou.nta.go.jp/henkorireki-johoto.html?selHouzinNo=2290001067438</t>
  </si>
  <si>
    <t>SOELU株式会社</t>
  </si>
  <si>
    <t>3011001099448</t>
  </si>
  <si>
    <t>https://corporate.soelu.com/#section1</t>
  </si>
  <si>
    <t>オンラインフィットネス</t>
  </si>
  <si>
    <t>東京都港区六本木5-9-20
六本木イグノポール 507号室</t>
  </si>
  <si>
    <t>蒋詩豪・白土聡志</t>
  </si>
  <si>
    <t>https://www.houjin-bangou.nta.go.jp/henkorireki-johoto.html?selHouzinNo=3011001099448</t>
  </si>
  <si>
    <t>株式会社デザインケア</t>
  </si>
  <si>
    <t>7180001115491</t>
  </si>
  <si>
    <t>https://kakaritsuke.co.jp/</t>
  </si>
  <si>
    <t>訪問介護</t>
  </si>
  <si>
    <t>愛知県名古屋市中区大須1-7-14 2F</t>
  </si>
  <si>
    <t>藤野泰平</t>
  </si>
  <si>
    <t>https://www.houjin-bangou.nta.go.jp/henkorireki-johoto.html?selHouzinNo=7180001115491</t>
  </si>
  <si>
    <t>株式会社ワイズ</t>
  </si>
  <si>
    <t>https://ys-j.co.jp/</t>
  </si>
  <si>
    <t>リハビリテーションプログラムの提供</t>
  </si>
  <si>
    <t>東京都港区赤坂2-12-10　HF溜池ビルディング 1階</t>
  </si>
  <si>
    <t>株式会社Kids Public</t>
  </si>
  <si>
    <t>6011501021222</t>
  </si>
  <si>
    <t>小児科医/産婦人科医へのオンライン相談</t>
  </si>
  <si>
    <t>東京都千代田区神田小川町1-8-14　神田新宮嶋ビル4階</t>
  </si>
  <si>
    <t>橋本直也</t>
  </si>
  <si>
    <t>https://www.houjin-bangou.nta.go.jp/henkorireki-johoto.html?selHouzinNo=6011501021222</t>
  </si>
  <si>
    <t>メタジェン</t>
  </si>
  <si>
    <t>7390001014012</t>
  </si>
  <si>
    <t>腸内環境の検査及び評価</t>
  </si>
  <si>
    <t>山形県鶴岡市覚岸寺字水上246番地2</t>
  </si>
  <si>
    <t>福田真嗣</t>
  </si>
  <si>
    <t>メタジェンセラピューティクス株式会社, Metagen Singapore Pte. Ltd.</t>
  </si>
  <si>
    <t>https://www.houjin-bangou.nta.go.jp/henkorireki-johoto.html?selHouzinNo=7390001014012</t>
  </si>
  <si>
    <t>REXA(旧G-TAC)</t>
  </si>
  <si>
    <t>7010401119794</t>
  </si>
  <si>
    <t>各種検査キットの販売</t>
  </si>
  <si>
    <t>東京都 港区 虎ノ門3丁目4-7 虎ノ門36森ビル</t>
  </si>
  <si>
    <t>エムスリーの完全子会社</t>
  </si>
  <si>
    <t>富山泰司</t>
  </si>
  <si>
    <t>https://www.houjin-bangou.nta.go.jp/henkorireki-johoto.html?selHouzinNo=7010401119794</t>
  </si>
  <si>
    <t>Rhelixa(レリクサ)</t>
  </si>
  <si>
    <t>9010901035655</t>
  </si>
  <si>
    <t>ゲノム解析受託</t>
  </si>
  <si>
    <t>東京都千代田区神田三崎町2-2-14 BRICK GATE 水道橋 2階</t>
  </si>
  <si>
    <t>仲木竜</t>
  </si>
  <si>
    <t>松野智行</t>
  </si>
  <si>
    <t>https://www.houjin-bangou.nta.go.jp/henkorireki-johoto.html?selHouzinNo=9010901035655</t>
  </si>
  <si>
    <t>トリプルダブリュージャパン</t>
  </si>
  <si>
    <t>9140001097088</t>
  </si>
  <si>
    <t>排尿タイミングの予測デバイス</t>
  </si>
  <si>
    <t>東京都港区虎ノ門一丁目4番5号 文芸ビル5階</t>
  </si>
  <si>
    <t>中西敦士</t>
  </si>
  <si>
    <t>https://www.houjin-bangou.nta.go.jp/henkorireki-johoto.html?selHouzinNo=9140001097088</t>
  </si>
  <si>
    <t>z-works</t>
  </si>
  <si>
    <t>8011101073298</t>
  </si>
  <si>
    <t>IoT介護支援システムの開発</t>
  </si>
  <si>
    <t>東京都新宿区下落合4-21-19 目白LKビル7F</t>
  </si>
  <si>
    <t>髙橋達也,小川誠</t>
  </si>
  <si>
    <t>高橋達也</t>
  </si>
  <si>
    <t>https://www.houjin-bangou.nta.go.jp/henkorireki-johoto.html?selHouzinNo=8011101073298</t>
  </si>
  <si>
    <t>エムスリーデジカル</t>
  </si>
  <si>
    <t>6010401119795</t>
  </si>
  <si>
    <t xml:space="preserve">エムスリーと提携&amp;社名変更
AIによる自動学習機能がついた電子カルテの提供
</t>
  </si>
  <si>
    <t>東京都港区赤坂1丁目11番44号 赤坂インターシティ11階</t>
  </si>
  <si>
    <t>尾崎郁雄</t>
  </si>
  <si>
    <t>https://www.houjin-bangou.nta.go.jp/henkorireki-johoto.html?selHouzinNo=6010401119795</t>
  </si>
  <si>
    <t>3sunny</t>
  </si>
  <si>
    <t>3040001093012</t>
  </si>
  <si>
    <t>退院支援業務の負担軽減・効率化を
サポートするクラウドサービスを提供</t>
  </si>
  <si>
    <t>東京都墨田区両国2-13-8 両国駅前ビル 7F</t>
  </si>
  <si>
    <t>志水文人</t>
  </si>
  <si>
    <t>https://www.houjin-bangou.nta.go.jp/henkorireki-johoto.html?selHouzinNo=3040001093012</t>
  </si>
  <si>
    <t>株式会社リミー</t>
  </si>
  <si>
    <t>5011001136208</t>
  </si>
  <si>
    <t>https://reme-nomal.com/%E9%81%8B%E5%96%B6%E4%BC%9A%E7%A4%BE/</t>
  </si>
  <si>
    <t>オンラインでの悩み相談
株式会社Normalから株式会社リミーとして独立</t>
  </si>
  <si>
    <t>東京都渋谷区円山町５番５号Ｎａｖｉ渋谷Ｖ３階</t>
  </si>
  <si>
    <t>松本祥太郎</t>
  </si>
  <si>
    <t>近藤雄太郎</t>
  </si>
  <si>
    <t>株式会社Normal</t>
  </si>
  <si>
    <t>https://www.houjin-bangou.nta.go.jp/henkorireki-johoto.html?selHouzinNo=5011001136208</t>
  </si>
  <si>
    <t>株式会社ベータトリップ</t>
  </si>
  <si>
    <t>9010001172688</t>
  </si>
  <si>
    <t>https://encourage-s.jp/service/</t>
  </si>
  <si>
    <t>うつ病や双極性障害など精神疾患を抱える方のご家族やパートナーの方向けの無料コミュニティサイトを提供</t>
  </si>
  <si>
    <t>東京都目黒区目黒2-11-3</t>
  </si>
  <si>
    <t>林晋吾</t>
  </si>
  <si>
    <t>https://www.houjin-bangou.nta.go.jp/henkorireki-johoto.html?selHouzinNo=9010001172688</t>
  </si>
  <si>
    <t>株式会社ウツワ</t>
  </si>
  <si>
    <t>7010001165248</t>
  </si>
  <si>
    <t>https://utw.co.jp/index.html</t>
  </si>
  <si>
    <r>
      <rPr>
        <rFont val="Arial"/>
        <color rgb="FF0000FF"/>
        <u/>
      </rPr>
      <t xml:space="preserve">https://illuminate-pjt.com/line.html
</t>
    </r>
    <r>
      <rPr>
        <rFont val="Arial"/>
      </rPr>
      <t>アパレル系</t>
    </r>
  </si>
  <si>
    <t>東京都渋谷区渋谷３丁目１９番１号</t>
  </si>
  <si>
    <t>稲勝栞</t>
  </si>
  <si>
    <t>https://www.houjin-bangou.nta.go.jp/henkorireki-johoto.html?selHouzinNo=7010001165248</t>
  </si>
  <si>
    <t>株式会社F Treatment</t>
  </si>
  <si>
    <t>4010401121407</t>
  </si>
  <si>
    <t>https://www.f-treatment.co.jp/</t>
  </si>
  <si>
    <t>卵巣年齢チェックキットや不妊治療の情報提供サイト</t>
  </si>
  <si>
    <t>東京都中央区銀座三丁目11番16号　Vort銀座イーストビル　4F</t>
  </si>
  <si>
    <t>関根悠</t>
  </si>
  <si>
    <t>金藤美樹穂</t>
  </si>
  <si>
    <t>https://www.houjin-bangou.nta.go.jp/henkorireki-johoto.html?selHouzinNo=4010401121407</t>
  </si>
  <si>
    <t>株式会社ファミワン</t>
  </si>
  <si>
    <t>4011001105758</t>
  </si>
  <si>
    <t>https://famione.com/</t>
  </si>
  <si>
    <t>オンラインでの妊活相談対応支援</t>
  </si>
  <si>
    <t>東京都渋谷区渋谷２−１４−６</t>
  </si>
  <si>
    <t>石川勇介</t>
  </si>
  <si>
    <t>https://www.houjin-bangou.nta.go.jp/henkorireki-johoto.html?selHouzinNo=4011001105758</t>
  </si>
  <si>
    <t>MICIN</t>
  </si>
  <si>
    <t>1490001008208</t>
  </si>
  <si>
    <t>予約から問診、診察、決済、医薬品の配送⼿続き（院内処方の場合）までをオンラインで完結させることができるサービス等を提供</t>
  </si>
  <si>
    <t>東京都千代田区大手町2-6-2 日本ビル13階</t>
  </si>
  <si>
    <t>原聖吾,巣籠悠輔</t>
  </si>
  <si>
    <t>原聖吾</t>
  </si>
  <si>
    <t>https://www.houjin-bangou.nta.go.jp/henkorireki-johoto.html?selHouzinNo=1490001008208</t>
  </si>
  <si>
    <t>Melody International</t>
  </si>
  <si>
    <t>1470001015222</t>
  </si>
  <si>
    <t>周産期遠隔医療サービスにかかるプラットフォームと医療機器の製造、開発および販売</t>
  </si>
  <si>
    <t>香川県</t>
  </si>
  <si>
    <t xml:space="preserve">香川県高松市林町2217-44ネクスト香川304 </t>
  </si>
  <si>
    <t>尾形優子</t>
  </si>
  <si>
    <t>https://www.houjin-bangou.nta.go.jp/henkorireki-johoto.html?selHouzinNo=1470001015222</t>
  </si>
  <si>
    <t>miup Inc</t>
  </si>
  <si>
    <t>6010401120729</t>
  </si>
  <si>
    <t>https://miup.jp/</t>
  </si>
  <si>
    <t xml:space="preserve">遠隔医療、検診サービス、医療ソフトウェア開発、臨床検査センターの運営及び，
バングラデシュで検査センター事業並びに医療サービス事業を展開
</t>
  </si>
  <si>
    <t>東京都文京区本郷７丁目３－１</t>
  </si>
  <si>
    <t>酒匂真理</t>
  </si>
  <si>
    <t>https://www.houjin-bangou.nta.go.jp/henkorireki-johoto.html?selHouzinNo=6010401120729</t>
  </si>
  <si>
    <t>Medical Logue</t>
  </si>
  <si>
    <t>8010701030873</t>
  </si>
  <si>
    <t>医学研究のためのデータ収集アプリを提供</t>
  </si>
  <si>
    <t>東京都千代田区九段南4丁目7-22 メゾン・ド・シャルー604</t>
  </si>
  <si>
    <t>野口宏人</t>
  </si>
  <si>
    <t>https://www.houjin-bangou.nta.go.jp/henkorireki-johoto.html?selHouzinNo=8010701030873</t>
  </si>
  <si>
    <t>株式会社ピスケス（旧医科歯科ドットコム株式会社）</t>
  </si>
  <si>
    <t>1011001108615</t>
  </si>
  <si>
    <t>https://icashica.com/company</t>
  </si>
  <si>
    <t>歯科医専用予約サイト</t>
  </si>
  <si>
    <t>東京都豊島区西池袋１丁目４番１０号</t>
  </si>
  <si>
    <t>MRTとアイフラッグのJV</t>
  </si>
  <si>
    <t>髙橋成夢</t>
  </si>
  <si>
    <t>MRT, アイフラッグ</t>
  </si>
  <si>
    <t>https://www.houjin-bangou.nta.go.jp/henkorireki-johoto.html?selHouzinNo=1011001108615</t>
  </si>
  <si>
    <t>DeSCヘルスケア</t>
  </si>
  <si>
    <t>1011001104408</t>
  </si>
  <si>
    <t>https://www.desc-hc.co.jp/company</t>
  </si>
  <si>
    <t>ディー・エヌ・エーと住友商事により設立された会社</t>
  </si>
  <si>
    <t>東京都渋谷区代々木4-30-3　新宿MIDWESTビル　8F</t>
  </si>
  <si>
    <t>DeNAと住友商事のJV</t>
  </si>
  <si>
    <t>瀬川翔</t>
  </si>
  <si>
    <t>DeNA, 住友商事</t>
  </si>
  <si>
    <t>https://www.houjin-bangou.nta.go.jp/henkorireki-johoto.html?selHouzinNo=1011001104408</t>
  </si>
  <si>
    <t>シルタス(旧アドウェル)</t>
  </si>
  <si>
    <t>4010401128187</t>
  </si>
  <si>
    <t>https://corp.sirutasu.com/</t>
  </si>
  <si>
    <t>ヘルスケアサービスのシステム開発、 ヘルスケアマーケティング</t>
  </si>
  <si>
    <t>東京都港区六本木５丁目９−２０ 六本木イグノポール 5F</t>
  </si>
  <si>
    <t>小原一樹</t>
  </si>
  <si>
    <t>https://www.houjin-bangou.nta.go.jp/henkorireki-johoto.html?selHouzinNo=4010401128187</t>
  </si>
  <si>
    <t>クリンタル</t>
  </si>
  <si>
    <t>6010401118228</t>
  </si>
  <si>
    <t>2018年にJMDC買収統合</t>
  </si>
  <si>
    <t>東京都港区芝２丁目１２－１３ＡＳＩＴＩＳ芝２０２</t>
  </si>
  <si>
    <t>杉田玲夢</t>
  </si>
  <si>
    <t>株式会社JMDC</t>
  </si>
  <si>
    <t>https://www.houjin-bangou.nta.go.jp/henkorireki-johoto.html?selHouzinNo=6010401118228</t>
  </si>
  <si>
    <t>メドケア</t>
  </si>
  <si>
    <t>5011101073020</t>
  </si>
  <si>
    <t>生活習慣病を中心とする慢性疾患に特化したオンライン診療サービス「Medically（メディカリー）」の提供</t>
  </si>
  <si>
    <t>東京都豊島区目白3-14-3 目白寛永堂ビル7階</t>
  </si>
  <si>
    <t>明石英之</t>
  </si>
  <si>
    <t>https://www.houjin-bangou.nta.go.jp/henkorireki-johoto.html?selHouzinNo=5011101073020</t>
  </si>
  <si>
    <t>Mediplat</t>
  </si>
  <si>
    <t>3010001171984</t>
  </si>
  <si>
    <t>https://www.firstcall.md/Home/About</t>
  </si>
  <si>
    <t>クラウド型健康管理サービス「first call」の運営、ライフログプラットフォーム事業</t>
  </si>
  <si>
    <t>東京都中央区築地1丁目13番1号</t>
  </si>
  <si>
    <t>メドピアとスギ薬局のJV</t>
  </si>
  <si>
    <t>林光洋</t>
  </si>
  <si>
    <t>メドピア株式会社:51%
株式会社スギ薬局:49%</t>
  </si>
  <si>
    <t>https://www.houjin-bangou.nta.go.jp/henkorireki-johoto.html?selHouzinNo=3010001171984</t>
  </si>
  <si>
    <t>COMP</t>
  </si>
  <si>
    <t>7010401120959</t>
  </si>
  <si>
    <t>食品の企画販売</t>
  </si>
  <si>
    <t>東京都渋谷区渋谷2丁目24番12号 渋谷スクランブルスクエア 東棟39F</t>
  </si>
  <si>
    <t>鈴木優太</t>
  </si>
  <si>
    <t>https://www.houjin-bangou.nta.go.jp/henkorireki-johoto.html?selHouzinNo=7010401120959</t>
  </si>
  <si>
    <t>Blue Cross Med</t>
  </si>
  <si>
    <t>8010001169801</t>
  </si>
  <si>
    <t>https://bluecross-med.com/</t>
  </si>
  <si>
    <t>医療機関、およびヘルスケア部門の運営サポート</t>
  </si>
  <si>
    <t>東京都千代田区内幸町2丁目2番3号</t>
  </si>
  <si>
    <t>田中建</t>
  </si>
  <si>
    <t>https://www.houjin-bangou.nta.go.jp/henkorireki-johoto.html?selHouzinNo=8010001169801</t>
  </si>
  <si>
    <t>Lime</t>
  </si>
  <si>
    <t>9011001114721</t>
  </si>
  <si>
    <t>http://lime-fit.com/</t>
  </si>
  <si>
    <t>フィットネスジムの支援</t>
  </si>
  <si>
    <t>東京都目黒区東山3-1-19 メゾン池尻大橋308</t>
  </si>
  <si>
    <t>斉藤隼生</t>
  </si>
  <si>
    <t xml:space="preserve">斉藤隼生
</t>
  </si>
  <si>
    <t>https://www.houjin-bangou.nta.go.jp/henkorireki-johoto.html?selHouzinNo=9011001114721</t>
  </si>
  <si>
    <t>アドメディカ</t>
  </si>
  <si>
    <t>7010401121651</t>
  </si>
  <si>
    <t>http://ad-medi.com/</t>
  </si>
  <si>
    <t>医師にオンラインで相談可能なメディアの運営，web広告事業などを展開</t>
  </si>
  <si>
    <t>東京都中央区銀座8-18-4　THE FORME GINZA 6F</t>
  </si>
  <si>
    <t>川村和裕</t>
  </si>
  <si>
    <t>https://www.houjin-bangou.nta.go.jp/henkorireki-johoto.html?selHouzinNo=7010401121651</t>
  </si>
  <si>
    <t>ヘルスケアマーケットジャパン株式会社</t>
  </si>
  <si>
    <t>6020001113685</t>
  </si>
  <si>
    <t>http://healthcare-markets.jp/</t>
  </si>
  <si>
    <t>介護人材マッチングサービス</t>
  </si>
  <si>
    <t>神奈川県横浜市神奈川区金港町9-10-301</t>
  </si>
  <si>
    <t>坪井俊憲</t>
  </si>
  <si>
    <t>https://www.houjin-bangou.nta.go.jp/henkorireki-johoto.html?selHouzinNo=6020001113685</t>
  </si>
  <si>
    <t>Logbii</t>
  </si>
  <si>
    <t>7011001105508</t>
  </si>
  <si>
    <t>人工知能ソフトウェアライセンシング・SaaS提供</t>
  </si>
  <si>
    <t>東京都渋谷区恵比寿 2-28-10 Shu BLDG 2737</t>
  </si>
  <si>
    <t>松田敦義</t>
  </si>
  <si>
    <t>https://www.houjin-bangou.nta.go.jp/henkorireki-johoto.html?selHouzinNo=7011001105508</t>
  </si>
  <si>
    <t>ハイズ</t>
  </si>
  <si>
    <t>7011101071212</t>
  </si>
  <si>
    <t>https://www.highz-inc.jp/</t>
  </si>
  <si>
    <t>医療機関向け経営コンサルティング業務
ヘルスケアビジネスのコンサルティング業務</t>
  </si>
  <si>
    <t>東京都中央区日本橋久松町6-9
AS ONE日本橋Eastビル5階</t>
  </si>
  <si>
    <t>裵英洙</t>
  </si>
  <si>
    <t>https://www.houjin-bangou.nta.go.jp/henkorireki-johoto.html?selHouzinNo=7011101071212</t>
  </si>
  <si>
    <t>株式会社LEAN BODY</t>
  </si>
  <si>
    <t>8190001023288</t>
  </si>
  <si>
    <t>https://lean-body.co.jp/</t>
  </si>
  <si>
    <t>東京都渋谷区南平台町15-1
ライオンズマンション607</t>
  </si>
  <si>
    <t>中山善貴</t>
  </si>
  <si>
    <t>https://www.houjin-bangou.nta.go.jp/henkorireki-johoto.html?selHouzinNo=8190001023288</t>
  </si>
  <si>
    <t>マーソ株式会社</t>
  </si>
  <si>
    <t>9010401116526</t>
  </si>
  <si>
    <t>https://www.mrso.jp/</t>
  </si>
  <si>
    <t>医療機関向けのwebサービスや人間ドックや各種がん検診の予約サイトの展開</t>
  </si>
  <si>
    <t>東京都港区虎ノ門4-3-1 城山トラストタワー17階</t>
  </si>
  <si>
    <t>西野恒五郎</t>
  </si>
  <si>
    <t>https://www.houjin-bangou.nta.go.jp/henkorireki-johoto.html?selHouzinNo=9010401116526</t>
  </si>
  <si>
    <t>カケハシ</t>
  </si>
  <si>
    <t>5011001110204</t>
  </si>
  <si>
    <t>調剤薬局向けサービスの開発・提供</t>
  </si>
  <si>
    <t>東京都中央区築地4丁目1-17 銀座大野ビル9F</t>
  </si>
  <si>
    <t>中尾豊</t>
  </si>
  <si>
    <t>https://www.houjin-bangou.nta.go.jp/henkorireki-johoto.html?selHouzinNo=5011001110204</t>
  </si>
  <si>
    <t>tink</t>
  </si>
  <si>
    <t>3011001111641</t>
  </si>
  <si>
    <t>Healingpaper Co.,Ltdに美容整形口コミアプリ「ルクモ」の運営事業を事業譲渡</t>
  </si>
  <si>
    <t>東京都港区浜松町2-2-15浜松町ダイヤビル2F</t>
  </si>
  <si>
    <t>高橋礼</t>
  </si>
  <si>
    <t>https://www.houjin-bangou.nta.go.jp/henkorireki-johoto.html?selHouzinNo=3011001111641</t>
  </si>
  <si>
    <t>Antaa</t>
  </si>
  <si>
    <t>1011001111461</t>
  </si>
  <si>
    <t>https://antaa.jp/</t>
  </si>
  <si>
    <t>医師同士の質問解決プラットフォームや医師同士の資料共有サービスを展開</t>
  </si>
  <si>
    <t>東京都中央区日本橋室町1-5-2 東洋ビル10階</t>
  </si>
  <si>
    <t>中山俊</t>
  </si>
  <si>
    <t>https://www.houjin-bangou.nta.go.jp/henkorireki-johoto.html?selHouzinNo=1011001111461</t>
  </si>
  <si>
    <t>ドクターズ株式会社</t>
  </si>
  <si>
    <t>1010001178619</t>
  </si>
  <si>
    <t>https://doctors-inc.jp/</t>
  </si>
  <si>
    <t>医療DXを事業領域とした事業開発関連の統合的ソリューションの提供</t>
  </si>
  <si>
    <t>東京都港区芝公園2-3-6
PMO浜松町II 5階</t>
  </si>
  <si>
    <t>柳川貴雄</t>
  </si>
  <si>
    <t>https://www.houjin-bangou.nta.go.jp/henkorireki-johoto.html?selHouzinNo=1010001178619</t>
  </si>
  <si>
    <t>株式会社エピグノ</t>
  </si>
  <si>
    <t>8020001117775</t>
  </si>
  <si>
    <t>https://www.epigno.jp/</t>
  </si>
  <si>
    <t>医療・介護機関向けマネジメントシステム事業，コンサルティング事業</t>
  </si>
  <si>
    <t>東京都港区六本木6-8-10 STEP六本木ビル WEST 1階</t>
  </si>
  <si>
    <t>乾文良</t>
  </si>
  <si>
    <t>https://www.houjin-bangou.nta.go.jp/henkorireki-johoto.html?selHouzinNo=8020001117775</t>
  </si>
  <si>
    <t>バックテック</t>
  </si>
  <si>
    <t>6130001057252</t>
  </si>
  <si>
    <t>従業員向けに「肩こり腰痛対策」を起点とした生産性向上とうつリスク改善をサポートする健康経営ソリューション「ポケットセラピスト」の開発・提供</t>
  </si>
  <si>
    <t>京都市下京区烏丸通仏光寺下ル大政所町680-1</t>
  </si>
  <si>
    <t>福谷直人</t>
  </si>
  <si>
    <t>https://www.houjin-bangou.nta.go.jp/henkorireki-johoto.html?selHouzinNo=6130001057252</t>
  </si>
  <si>
    <t>O:</t>
  </si>
  <si>
    <t>1010001180104</t>
  </si>
  <si>
    <t>https://o-inc.jp/</t>
  </si>
  <si>
    <t>従業員の睡眠データを分析し、生産性の向上及びメンタルヘルス不調削減支援サービス「O:SLEEP（オースリープ）」の提供</t>
  </si>
  <si>
    <t>東京都目黒区目黒3-9-1 目黒須田ビル101</t>
  </si>
  <si>
    <t>谷本潤哉</t>
  </si>
  <si>
    <t>https://www.houjin-bangou.nta.go.jp/henkorireki-johoto.html?selHouzinNo=1010001180104</t>
  </si>
  <si>
    <t>株式会社Appdate</t>
  </si>
  <si>
    <t>6010401125232</t>
  </si>
  <si>
    <t>https://www.appdate.co.jp/</t>
  </si>
  <si>
    <t>産業保険, 医療機関連携</t>
  </si>
  <si>
    <t>東京都新宿区西新宿7-16-1
第3歯朶ビル5F</t>
  </si>
  <si>
    <t>大嶋啓介</t>
  </si>
  <si>
    <t>榎本純也</t>
  </si>
  <si>
    <t>https://www.houjin-bangou.nta.go.jp/henkorireki-johoto.html?selHouzinNo=6010401125232</t>
  </si>
  <si>
    <t>ナノティス</t>
  </si>
  <si>
    <t>4011001111351</t>
  </si>
  <si>
    <t>唾液による呼吸器感染症検査デバイスの研究開発。</t>
  </si>
  <si>
    <t>東京都渋谷区代々木5丁目50番13号</t>
  </si>
  <si>
    <t>坂下理紗,小野田実真</t>
  </si>
  <si>
    <t>坂下理紗</t>
  </si>
  <si>
    <t>https://www.houjin-bangou.nta.go.jp/henkorireki-johoto.html?selHouzinNo=4011001111351</t>
  </si>
  <si>
    <t>株式会社SENSECARE</t>
  </si>
  <si>
    <t>6010401124226</t>
  </si>
  <si>
    <t>https://www.icareyou.jp/</t>
  </si>
  <si>
    <t>訪問介護サービスの「I care you」を提供</t>
  </si>
  <si>
    <t>東京都港区赤坂4丁目10番-7-802号</t>
  </si>
  <si>
    <t>渡邊輝</t>
  </si>
  <si>
    <t>https://www.houjin-bangou.nta.go.jp/henkorireki-johoto.html?selHouzinNo=6010401124226</t>
  </si>
  <si>
    <t>Lily Medtech</t>
  </si>
  <si>
    <t>4010001175588</t>
  </si>
  <si>
    <t>エムスリーと業務資本提携</t>
  </si>
  <si>
    <t>東京都文京区本郷7-3-1　 東京大学アントレプレナープラザ701</t>
  </si>
  <si>
    <t>東志保</t>
  </si>
  <si>
    <t>https://www.houjin-bangou.nta.go.jp/henkorireki-johoto.html?selHouzinNo=4010001175588</t>
  </si>
  <si>
    <t>HealtheeOne</t>
  </si>
  <si>
    <t>5380001025788</t>
  </si>
  <si>
    <t>医療ICTサービスの開発および販売事業
データ解析サービスの開発および販売事業</t>
  </si>
  <si>
    <t>福島県</t>
  </si>
  <si>
    <t>福島県いわき市
平上荒川字桜町1-1 ALATANA内</t>
  </si>
  <si>
    <t>小柳正和</t>
  </si>
  <si>
    <t>https://www.houjin-bangou.nta.go.jp/henkorireki-johoto.html?selHouzinNo=5380001025788</t>
  </si>
  <si>
    <t>Holoeyes</t>
  </si>
  <si>
    <t>1010001179195</t>
  </si>
  <si>
    <t>http://holoeyes.jp/</t>
  </si>
  <si>
    <t>医療トレーニング、教育に使用する症例の3DVRライブラリの構築やCT画像等を基にした3DVRでコミュニケーションをできる医療向けサービス「Holoeyes VR」の開発</t>
  </si>
  <si>
    <t>東京都港区南青山2-17-3 モーリンビル303</t>
  </si>
  <si>
    <t>谷口直嗣,杉本真樹</t>
  </si>
  <si>
    <t>https://www.houjin-bangou.nta.go.jp/henkorireki-johoto.html?selHouzinNo=1010001179195</t>
  </si>
  <si>
    <t>T-ICU</t>
  </si>
  <si>
    <t>2140001103769</t>
  </si>
  <si>
    <t>https://t-icu.co.jp/</t>
  </si>
  <si>
    <t>遠隔での集中治療支援</t>
  </si>
  <si>
    <t>兵庫県</t>
  </si>
  <si>
    <t>兵庫県神戸市中央区八幡通3-2-5 IN東洋ビル605</t>
  </si>
  <si>
    <t>中西智之</t>
  </si>
  <si>
    <t>https://www.houjin-bangou.nta.go.jp/henkorireki-johoto.html?selHouzinNo=2140001103769</t>
  </si>
  <si>
    <t>株式会社プレシジョン</t>
  </si>
  <si>
    <t>1011001113499</t>
  </si>
  <si>
    <t>https://www.premedi.co.jp/</t>
  </si>
  <si>
    <t>AIを用いた電子問診票</t>
  </si>
  <si>
    <t>東京都文京区本郷４丁目２−５ MAビル7F</t>
  </si>
  <si>
    <t>佐藤寿彦</t>
  </si>
  <si>
    <t>https://www.houjin-bangou.nta.go.jp/henkorireki-johoto.html?selHouzinNo=1011001113499</t>
  </si>
  <si>
    <t>株式会社Rehab for JAPAN</t>
  </si>
  <si>
    <t>6010401125397</t>
  </si>
  <si>
    <t>https://rehabforjapan.jp/</t>
  </si>
  <si>
    <t>リハビリの計画や業務をクラウドで管理できるソフトを提供</t>
  </si>
  <si>
    <t>東京都品川区西五反田8丁目8-15カーニープレイス五反田8F</t>
  </si>
  <si>
    <t>大久保亮</t>
  </si>
  <si>
    <t>https://www.houjin-bangou.nta.go.jp/henkorireki-johoto.html?selHouzinNo=6010401125397</t>
  </si>
  <si>
    <t>株式会社flixy</t>
  </si>
  <si>
    <t>6010601050338</t>
  </si>
  <si>
    <t>https://monshin.melp.life/</t>
  </si>
  <si>
    <t>Web問診サービスを提供</t>
  </si>
  <si>
    <t>東京都港区芝大門二丁目5番5号 住友芝大門ビル6階</t>
  </si>
  <si>
    <t>吉永和貴</t>
  </si>
  <si>
    <t>https://www.houjin-bangou.nta.go.jp/henkorireki-johoto.html?selHouzinNo=6010601050338</t>
  </si>
  <si>
    <t>DeepEyeVision株式会社</t>
  </si>
  <si>
    <t>4060003002281</t>
  </si>
  <si>
    <t>https://deepeyevision.com/</t>
  </si>
  <si>
    <t>ディープラーニングを用いた眼科画像診断支援</t>
  </si>
  <si>
    <t>栃木県</t>
  </si>
  <si>
    <t>栃木県下野市薬師寺3311-1 自治医科大学眼科学講座内</t>
  </si>
  <si>
    <t>髙橋秀徳</t>
  </si>
  <si>
    <t>https://www.houjin-bangou.nta.go.jp/henkorireki-johoto.html?selHouzinNo=4060003002281</t>
  </si>
  <si>
    <t>Hikari Lab</t>
  </si>
  <si>
    <t>2011101074005</t>
  </si>
  <si>
    <t>ビデオチャットと表情認識AIをかけ合わせたオンラインカウンセリングや、心理ケアゲーム事業を展開</t>
  </si>
  <si>
    <t>東京都中央区日本橋兜町17番2号　
兜町第6葉山ビル 4階</t>
  </si>
  <si>
    <t>清水あやこ</t>
  </si>
  <si>
    <t>https://www.houjin-bangou.nta.go.jp/henkorireki-johoto.html?selHouzinNo=2011101074005</t>
  </si>
  <si>
    <t>https://encourages.jp/about</t>
  </si>
  <si>
    <t>うつ病患者の家族向けコミュニティサイトencourage運営</t>
  </si>
  <si>
    <t>東京都目黒区目黒2-11-4</t>
  </si>
  <si>
    <t>株式会社ネクイノ</t>
  </si>
  <si>
    <t>アプリで診察、スマ診が一時停止になっている</t>
  </si>
  <si>
    <t>大阪市北区曽根崎新地1-13-22 御堂筋フロンティア WeWork</t>
  </si>
  <si>
    <t>石井健一</t>
  </si>
  <si>
    <t>https://www.houjin-bangou.nta.go.jp/henkorireki-johoto.html?selHouzinNo=5120001198841</t>
  </si>
  <si>
    <t>株式会社PREVENT</t>
  </si>
  <si>
    <t>https://prevent.co.jp/</t>
  </si>
  <si>
    <t>医療データ解析、生活習慣病の重症化予防支援事業等</t>
  </si>
  <si>
    <t>愛知県名古屋市東区葵一丁目26番12号　IKKO新栄ビル 9F</t>
  </si>
  <si>
    <t>萩原悠太</t>
  </si>
  <si>
    <t>https://www.houjin-bangou.nta.go.jp/henkorireki-johoto.html?selHouzinNo=3180001124224</t>
  </si>
  <si>
    <t>株式会社おいしい健康</t>
  </si>
  <si>
    <t>クックパッドのヘルスケア事業部から独立、ITを活用したヘルスケア事業、生活メディア事業</t>
  </si>
  <si>
    <t>東京都中央区日本橋小舟町3−2</t>
  </si>
  <si>
    <t>野尻哲也</t>
  </si>
  <si>
    <t>クックパッド</t>
  </si>
  <si>
    <t>https://www.houjin-bangou.nta.go.jp/henkorireki-johoto.html?selHouzinNo=2011001111725</t>
  </si>
  <si>
    <t>ライフログテクノロジーズ株式会社</t>
  </si>
  <si>
    <t>健康管理アプリ「カロミル」、機械学習のアプリや研究開発</t>
  </si>
  <si>
    <t>東京都中央区日本橋三丁目2番14号 新槇町ビル別館第一 1階</t>
  </si>
  <si>
    <t>棚橋繁行</t>
  </si>
  <si>
    <t>https://www.houjin-bangou.nta.go.jp/henkorireki-johoto.html?selHouzinNo=1013301038376</t>
  </si>
  <si>
    <t>株式会社エクサウィザーズ</t>
  </si>
  <si>
    <t>https://exawizards.com/company</t>
  </si>
  <si>
    <t>AIプラットフォーム、AIプロダクトの開発</t>
  </si>
  <si>
    <t>東京都港区東新橋1丁目9-2汐留住友ビル 21階</t>
  </si>
  <si>
    <t>春田真</t>
  </si>
  <si>
    <t>石山洸</t>
  </si>
  <si>
    <t>https://www.houjin-bangou.nta.go.jp/henkorireki-johoto.html?selHouzinNo=2010001173536</t>
  </si>
  <si>
    <t>ベースフード株式会社</t>
  </si>
  <si>
    <t>完全栄養の主食の開発・販売</t>
  </si>
  <si>
    <t>東京都目黒区中目黒５丁目２５番２号</t>
  </si>
  <si>
    <t>橋本舜</t>
  </si>
  <si>
    <t>味の素</t>
  </si>
  <si>
    <t>https://www.houjin-bangou.nta.go.jp/henkorireki-johoto.html?selHouzinNo=6010901037910</t>
  </si>
  <si>
    <t>GMO医療予約技術研究所</t>
  </si>
  <si>
    <t>GMO子会社と資本提携しGMOグループに</t>
  </si>
  <si>
    <t>東京都渋谷区渋谷２丁目12番19号 東建インターナショナルビル本館 7階</t>
  </si>
  <si>
    <t>熊野直之</t>
  </si>
  <si>
    <t>熊野なおゆき</t>
  </si>
  <si>
    <t>ＧＭＯペイメントゲートウェイ株式会社、ＧＭＯインターネット株式会社</t>
  </si>
  <si>
    <t>https://www.houjin-bangou.nta.go.jp/henkorireki-johoto.html?selHouzinNo=8010401124298</t>
  </si>
  <si>
    <t>株式会社キャピタルメディカベンチャーズ</t>
  </si>
  <si>
    <t>病院の運営・経営支援、医療周辺事業、高齢者施設の運営</t>
  </si>
  <si>
    <t>東京都港区虎ノ門1丁目2番3号 虎ノ門清和ビ</t>
  </si>
  <si>
    <t>青木武士</t>
  </si>
  <si>
    <t>株式会社キャピタルメディカ</t>
  </si>
  <si>
    <t>https://www.houjin-bangou.nta.go.jp/henkorireki-johoto.html?selHouzinNo=2010401128239</t>
  </si>
  <si>
    <t>株式会社SPLENDID</t>
  </si>
  <si>
    <t>医療情報提供(患者・医療側双方)</t>
  </si>
  <si>
    <t>東京都中央区日本橋２丁目１４−１ フロントプレイス日本橋8F所在地</t>
  </si>
  <si>
    <t>塩谷航平</t>
  </si>
  <si>
    <t>アポプラスステーション株式会社(クオールの子会社)</t>
  </si>
  <si>
    <t>https://www.houjin-bangou.nta.go.jp/henkorireki-johoto.html?selHouzinNo=8011001114846</t>
  </si>
  <si>
    <t>フォーユーライフケア</t>
  </si>
  <si>
    <t>ITを活用した医療人材の積極的活用</t>
  </si>
  <si>
    <t>東京都港区新橋５丁目１－９銀泉新橋第２ビル８階</t>
  </si>
  <si>
    <t>伊藤久美</t>
  </si>
  <si>
    <t>https://www.houjin-bangou.nta.go.jp/henkorireki-johoto.html?selHouzinNo=4010001174895</t>
  </si>
  <si>
    <t>インディーメディカル</t>
  </si>
  <si>
    <t>コスモテックの子会社(エムスリーの子会社)・再生医療に特化</t>
  </si>
  <si>
    <t>東京都文京区本郷2-3-9 ツインビューお茶の水ビル</t>
  </si>
  <si>
    <t>堤達朗</t>
  </si>
  <si>
    <t>コスモテック株式会社</t>
  </si>
  <si>
    <t>https://www.houjin-bangou.nta.go.jp/henkorireki-johoto.html?selHouzinNo=8010001172763</t>
  </si>
  <si>
    <t>ヘルスケアマーケティング</t>
  </si>
  <si>
    <t>解散後、セルスメタ・EPARKのJV</t>
  </si>
  <si>
    <t>東京都墨田区石原４丁目２５番１２号</t>
  </si>
  <si>
    <t>熊倉利和</t>
  </si>
  <si>
    <t>https://www.houjin-bangou.nta.go.jp/henkorireki-johoto.html?selHouzinNo=9010601050442</t>
  </si>
  <si>
    <t>ナッシュ株式会社</t>
  </si>
  <si>
    <t>https://nosh.jp/company</t>
  </si>
  <si>
    <t>健康食の販売・配達</t>
  </si>
  <si>
    <t>大阪府大阪市北区中之島3-3-3 中之島三井ビルディング16F</t>
  </si>
  <si>
    <t>田中智也</t>
  </si>
  <si>
    <t>https://www.houjin-bangou.nta.go.jp/henkorireki-johoto.html?selHouzinNo=6120001198816</t>
  </si>
  <si>
    <t>株式会社Muscle Deli</t>
  </si>
  <si>
    <t>https://muscledeli.co.jp/company/</t>
  </si>
  <si>
    <t>健康食の提供及び健康経営サポート</t>
  </si>
  <si>
    <t>東京都渋谷区宇田川町３６番２２－１２０１号ノア渋谷パートＩＩ</t>
  </si>
  <si>
    <t>西川真梨子</t>
  </si>
  <si>
    <t>https://www.houjin-bangou.nta.go.jp/henkorireki-johoto.html?selHouzinNo=7011001113849</t>
  </si>
  <si>
    <t>株式会社 cart</t>
  </si>
  <si>
    <t>https://cart-ltd.com/</t>
  </si>
  <si>
    <t>世界中のナチュラル＆オーガニック商品を買えるECプラットフォーム「ナチュラカート」を運営</t>
  </si>
  <si>
    <t xml:space="preserve">東京都千代田区平河町2-5-3 Nagatacho GRiD </t>
  </si>
  <si>
    <t>橋本雅治</t>
  </si>
  <si>
    <t>https://www.houjin-bangou.nta.go.jp/henkorireki-johoto.html?selHouzinNo=7010401127095</t>
  </si>
  <si>
    <t>株式会社ケアくる</t>
  </si>
  <si>
    <t>https://corp.carecle.com/</t>
  </si>
  <si>
    <t>集客サービス、電子カルテ、自賠専用レセコン事業、メディア事業、コンサルティング・システム開発、治療院経営、人材紹介</t>
  </si>
  <si>
    <t>東京都港区 芝公園1-2-9HANAIビル6階</t>
  </si>
  <si>
    <t>大山智弘</t>
  </si>
  <si>
    <t>橋本将崇</t>
  </si>
  <si>
    <t>https://www.houjin-bangou.nta.go.jp/henkorireki-johoto.html?selHouzinNo=2011101077222</t>
  </si>
  <si>
    <t>株式会社たべかた</t>
  </si>
  <si>
    <t>http://tabekata.jp/</t>
  </si>
  <si>
    <t>コンシューマー向けサービス兼フードコンサルティング</t>
  </si>
  <si>
    <t>東京都品川区戸越3−8−2</t>
  </si>
  <si>
    <t>板橋里麻</t>
  </si>
  <si>
    <t>https://www.houjin-bangou.nta.go.jp/henkorireki-johoto.html?selHouzinNo=7010901037496</t>
  </si>
  <si>
    <t>トリビュー</t>
  </si>
  <si>
    <t>http://corp.tribeau.jp/</t>
  </si>
  <si>
    <t>美容医療・整形の口コミ予約アプリ「トリビュー」の開発・運営</t>
  </si>
  <si>
    <t>東京都渋谷区渋谷3-2-3　帝都青山ビル5F</t>
  </si>
  <si>
    <t>毛迪</t>
  </si>
  <si>
    <t>https://www.houjin-bangou.nta.go.jp/henkorireki-johoto.html?selHouzinNo=7010401132946</t>
  </si>
  <si>
    <t>株式会社Meily</t>
  </si>
  <si>
    <t>https://about.meily.co.jp/</t>
  </si>
  <si>
    <t>美容医療SNS｢Meily｣の運営</t>
  </si>
  <si>
    <t>川井優恵乃</t>
  </si>
  <si>
    <t>https://www.houjin-bangou.nta.go.jp/henkorireki-johoto.html?selHouzinNo=5010401135298</t>
  </si>
  <si>
    <t>リテラスメディカ</t>
  </si>
  <si>
    <t>8180001101821</t>
  </si>
  <si>
    <t>旧株式会社ＩＭＳＳ。平成29年1月4日に変更。クラウドの電子カルテ等のプロダクト。</t>
  </si>
  <si>
    <t>東京都千代田区九段南４丁目６番１号</t>
  </si>
  <si>
    <t>織田聡</t>
  </si>
  <si>
    <t>https://www.houjin-bangou.nta.go.jp/henkorireki-johoto.html?selHouzinNo=8180001101821</t>
  </si>
  <si>
    <t>ドクターズプライム</t>
  </si>
  <si>
    <t>7010001183010</t>
  </si>
  <si>
    <t>https://drsprime.com/</t>
  </si>
  <si>
    <t>救急車を断らない医師採用サービス「Dr.'s Prime」など。</t>
  </si>
  <si>
    <t>東京都台東区西浅草２丁目２７番７号</t>
  </si>
  <si>
    <t>田真茂</t>
  </si>
  <si>
    <t>https://www.houjin-bangou.nta.go.jp/henkorireki-johoto.html?selHouzinNo=7010001183010</t>
  </si>
  <si>
    <t>株式会社リーバー</t>
  </si>
  <si>
    <t>2050001042316</t>
  </si>
  <si>
    <t>https://www.leber11.com/company</t>
  </si>
  <si>
    <t xml:space="preserve">旧株式会社ＡＧＲＥＥ。筑波大学発。英語名LEBER, Inc. </t>
  </si>
  <si>
    <t>茨城県つくば市高野１１５５番地２</t>
  </si>
  <si>
    <t>伊藤俊一郎</t>
  </si>
  <si>
    <t>アグリーグループ（アグリグループ　との複数表記あり）内。資本関係不明。</t>
  </si>
  <si>
    <t>https://www.houjin-bangou.nta.go.jp/henkorireki-johoto.html?selHouzinNo=2050001042316</t>
  </si>
  <si>
    <t>オクタウェル(OCTAWELL)</t>
  </si>
  <si>
    <t>5011101082021</t>
  </si>
  <si>
    <t>https://www.octawell.co.jp/</t>
  </si>
  <si>
    <t>東京都渋谷区代々木１丁目９番６－２０４号</t>
  </si>
  <si>
    <t>高木鈴子</t>
  </si>
  <si>
    <t>https://www.houjin-bangou.nta.go.jp/henkorireki-johoto.html?selHouzinNo=5011101082021</t>
  </si>
  <si>
    <t>株式会社シーディーアイ</t>
  </si>
  <si>
    <t>6010001182343</t>
  </si>
  <si>
    <t>https://www.cd-inc.co.jp/</t>
  </si>
  <si>
    <t>英語名Care Design Institute, Inc.</t>
  </si>
  <si>
    <t>東京都中央区京橋３丁目１番１号</t>
  </si>
  <si>
    <t>産業革新機構,セントケアHDらによるJV</t>
  </si>
  <si>
    <t>濵岡邦雅</t>
  </si>
  <si>
    <t>https://www.houjin-bangou.nta.go.jp/henkorireki-johoto.html?selHouzinNo=6010001182343</t>
  </si>
  <si>
    <t>Tellus You Care合同会社</t>
  </si>
  <si>
    <t>5011003010897</t>
  </si>
  <si>
    <t>https://tellusyoucare.com/home-2</t>
  </si>
  <si>
    <t>アメリカ発, 日本にも展開。フリガナ: テラスユーケア。</t>
  </si>
  <si>
    <t>アメリカ</t>
  </si>
  <si>
    <t>548 Market St, Suite 56510 San Francisco, California 94104-5401 US, 日本: 東京都渋谷区道玄坂１丁目９番４号ＯＤＡビルディング株式会社スパイラル・アンド・カンパニー内</t>
  </si>
  <si>
    <t>TANIAA.COKE</t>
  </si>
  <si>
    <t>CEOTaniaA.Coke</t>
  </si>
  <si>
    <t>https://www.houjin-bangou.nta.go.jp/henkorireki-johoto.html?selHouzinNo=5011003010897</t>
  </si>
  <si>
    <t>カイテク株式会社</t>
  </si>
  <si>
    <t>9011101083206</t>
  </si>
  <si>
    <t>https://caitech.co.jp/</t>
  </si>
  <si>
    <t>介護ワークシェアリングなど</t>
  </si>
  <si>
    <t>東京都新宿区若葉１丁目２番地５</t>
  </si>
  <si>
    <t>武藤高史</t>
  </si>
  <si>
    <t>https://www.houjin-bangou.nta.go.jp/henkorireki-johoto.html?selHouzinNo=9011101083206</t>
  </si>
  <si>
    <t xml:space="preserve">株式会社KURASERU </t>
  </si>
  <si>
    <t>1140001107738</t>
  </si>
  <si>
    <t>https://www.kuraseru.co.jp/</t>
  </si>
  <si>
    <t>介護施設マッチングなど</t>
  </si>
  <si>
    <t>兵庫</t>
  </si>
  <si>
    <t>兵庫県神戸市東灘区向洋町中６丁目９番</t>
  </si>
  <si>
    <t>川原大樹</t>
  </si>
  <si>
    <t>https://www.houjin-bangou.nta.go.jp/henkorireki-johoto.html?selHouzinNo=1140001107738</t>
  </si>
  <si>
    <t>AIメディカルサービス</t>
  </si>
  <si>
    <t>5030001122133</t>
  </si>
  <si>
    <t>https://www.ai-ms.com/</t>
  </si>
  <si>
    <t>内視鏡の画像診断支援AI（人工知能）の開発</t>
  </si>
  <si>
    <t>東京都豊島区東池袋１丁目１８番１号</t>
  </si>
  <si>
    <t>多田智裕,山内善行</t>
  </si>
  <si>
    <t>多田智裕</t>
  </si>
  <si>
    <t>https://www.houjin-bangou.nta.go.jp/henkorireki-johoto.html?selHouzinNo=5030001122133</t>
  </si>
  <si>
    <t>Ubie株式会社</t>
  </si>
  <si>
    <t>7010701034132</t>
  </si>
  <si>
    <t>AI問診、AI受診相談など</t>
  </si>
  <si>
    <t>東京都中央区日本橋室町１丁目５番３号福島ビル６階６０１号</t>
  </si>
  <si>
    <t>久保恒太,阿部吉倫</t>
  </si>
  <si>
    <t>阿部吉倫・久保恒太</t>
  </si>
  <si>
    <t>https://www.houjin-bangou.nta.go.jp/henkorireki-johoto.html?selHouzinNo=7010701034132</t>
  </si>
  <si>
    <t>メダップ株式会社</t>
  </si>
  <si>
    <t>1010401133396</t>
  </si>
  <si>
    <t>英語社名: MedUp, Inc.、医療系のシステム開発・提供等</t>
  </si>
  <si>
    <t>東京都千代田区霞が関３丁目２番５号霞が関ビルディング５階３１ＶＥＮＴＵＲＥＳ霞が関</t>
  </si>
  <si>
    <t>柳内健</t>
  </si>
  <si>
    <t>https://www.houjin-bangou.nta.go.jp/henkorireki-johoto.html?selHouzinNo=1010401133396</t>
  </si>
  <si>
    <t>株式会社メバイス</t>
  </si>
  <si>
    <t>6180001127802</t>
  </si>
  <si>
    <t>https://kysmo.tech/#overview</t>
  </si>
  <si>
    <t>令和3年4月に変更。名古屋大発。</t>
  </si>
  <si>
    <t>東京都港区六本木４丁目２番４５号高會堂ビル２階</t>
  </si>
  <si>
    <t>三野稜太</t>
  </si>
  <si>
    <t>https://www.houjin-bangou.nta.go.jp/henkorireki-johoto.html?selHouzinNo=6180001127802</t>
  </si>
  <si>
    <t>コネクテッド・インダストリーズ株式会社(CI)</t>
  </si>
  <si>
    <t>6010001184901</t>
  </si>
  <si>
    <t>https://ci-inc.co.jp/</t>
  </si>
  <si>
    <t>あずかるこちゃん、病児保育室の検索・予約サービスなど</t>
  </si>
  <si>
    <t>東京都中央区築地６丁目７番１１－９０１号</t>
  </si>
  <si>
    <t>園田正樹</t>
  </si>
  <si>
    <t>https://www.houjin-bangou.nta.go.jp/henkorireki-johoto.html?selHouzinNo=6010001184901</t>
  </si>
  <si>
    <t>TXP Medical 株式会社</t>
  </si>
  <si>
    <t>4010401133534</t>
  </si>
  <si>
    <t>https://txpmedical.jp/</t>
  </si>
  <si>
    <t>医療データシステム、AI技術など。</t>
  </si>
  <si>
    <t>東京都文京区本郷７丁目３番１号東京大学南研究棟２５２区</t>
  </si>
  <si>
    <t>園生智弘</t>
  </si>
  <si>
    <t>https://www.houjin-bangou.nta.go.jp/henkorireki-johoto.html?selHouzinNo=4010401133534</t>
  </si>
  <si>
    <t>Splink</t>
  </si>
  <si>
    <t>4010001180836</t>
  </si>
  <si>
    <t>https://www.splinkns.com/</t>
  </si>
  <si>
    <t>ブレインヘルスケア等</t>
  </si>
  <si>
    <t>東京都千代田区霞が関３丁目３－２</t>
  </si>
  <si>
    <t>青山裕紀</t>
  </si>
  <si>
    <t>https://www.houjin-bangou.nta.go.jp/henkorireki-johoto.html?selHouzinNo=4010001180836</t>
  </si>
  <si>
    <t>Varinos株式会社</t>
  </si>
  <si>
    <t>9040001098988</t>
  </si>
  <si>
    <t>https://www.varinos.com</t>
  </si>
  <si>
    <t>ゲノム解析による妊産婦に関する事業等</t>
  </si>
  <si>
    <t>東京都江東区青海１丁目１番２０号</t>
  </si>
  <si>
    <t>桜庭喜行</t>
  </si>
  <si>
    <t>https://www.houjin-bangou.nta.go.jp/henkorireki-johoto.html?selHouzinNo=9040001098988</t>
  </si>
  <si>
    <t>アイメッド(Ai-med)</t>
  </si>
  <si>
    <t>3011001118380</t>
  </si>
  <si>
    <t>https://ai-med.jp/company</t>
  </si>
  <si>
    <t>病院検索など</t>
  </si>
  <si>
    <t>東京都渋谷区桜丘町２０番４号</t>
  </si>
  <si>
    <t>相川佳之</t>
  </si>
  <si>
    <t>株式会社ネクシィーズグループ、及び、湘南美容クリニックグループの関連会社</t>
  </si>
  <si>
    <t>https://www.houjin-bangou.nta.go.jp/henkorireki-johoto.html?selHouzinNo=3011001118380</t>
  </si>
  <si>
    <t>株式会社Buzzreach</t>
  </si>
  <si>
    <t>3011001117069</t>
  </si>
  <si>
    <t>https://www.buzzreach.co.jp/#company</t>
  </si>
  <si>
    <t>治験プラットフォーム</t>
  </si>
  <si>
    <t>東京都品川区上大崎２丁目１５－１９ＭＧ目黒駅前９Ｆ</t>
  </si>
  <si>
    <t>猪川崇輝</t>
  </si>
  <si>
    <t>https://www.houjin-bangou.nta.go.jp/henkorireki-johoto.html?selHouzinNo=3011001117069</t>
  </si>
  <si>
    <t>株式会社リモハブ</t>
  </si>
  <si>
    <t>5120901038171</t>
  </si>
  <si>
    <t>https://www.remohab.com/</t>
  </si>
  <si>
    <t>英語名 Remohab Inc.、遠隔リハビリシステム等、大阪大学発</t>
  </si>
  <si>
    <t>大阪</t>
  </si>
  <si>
    <t>大阪府大阪市北区角田町１番１２号阪急ファイブアネックスビル</t>
  </si>
  <si>
    <t>谷口達典</t>
  </si>
  <si>
    <t>https://www.houjin-bangou.nta.go.jp/henkorireki-johoto.html?selHouzinNo=5120901038171</t>
  </si>
  <si>
    <t>エンタッチ</t>
  </si>
  <si>
    <t>4010001170358</t>
  </si>
  <si>
    <t>リモートディテーリング、情報共有等</t>
  </si>
  <si>
    <t>東京都中央区日本橋兜町１６番２号ＭＩＣビル５Ｆ</t>
  </si>
  <si>
    <t>マーティ・ロバーツ</t>
  </si>
  <si>
    <t>https://www.houjin-bangou.nta.go.jp/henkorireki-johoto.html?selHouzinNo=4010001170358</t>
  </si>
  <si>
    <t>CUVEYES</t>
  </si>
  <si>
    <t>2010401129641</t>
  </si>
  <si>
    <t>http://cuveyes.com/index.html#cont2</t>
  </si>
  <si>
    <t>個人の歩行記録をもとに企業が個人をスポンサーするアプリの運営等</t>
  </si>
  <si>
    <t>東京都中央区日本橋横山町６番１４号</t>
  </si>
  <si>
    <t>夏目恭行</t>
  </si>
  <si>
    <t>https://www.houjin-bangou.nta.go.jp/henkorireki-johoto.html?selHouzinNo=2010401129641</t>
  </si>
  <si>
    <t>EMC Healthcare</t>
  </si>
  <si>
    <t>1010401129782</t>
  </si>
  <si>
    <t>https://www.emcjpn.com/about/</t>
  </si>
  <si>
    <t>ウェアラブルデバイスによる測定、医療用及び研究用</t>
  </si>
  <si>
    <t>東京都千代田区大手町２丁目６番１号朝日生命大手町ビル１Ｆ</t>
  </si>
  <si>
    <t>伊達仁人</t>
  </si>
  <si>
    <t>https://www.houjin-bangou.nta.go.jp/henkorireki-johoto.html?selHouzinNo=1010401129782</t>
  </si>
  <si>
    <t>株式会社LINK（LINK.inc）</t>
  </si>
  <si>
    <t>7180001127264</t>
  </si>
  <si>
    <t>http://link-cocokara.jp/</t>
  </si>
  <si>
    <t>介護士シェアリングなど</t>
  </si>
  <si>
    <t>東京都渋谷区渋谷２丁目２－１７</t>
  </si>
  <si>
    <t>水野友喜</t>
  </si>
  <si>
    <t>https://www.houjin-bangou.nta.go.jp/henkorireki-johoto.html?selHouzinNo=7180001127264</t>
  </si>
  <si>
    <t>株式会社リハートテック</t>
  </si>
  <si>
    <t>2170001014988</t>
  </si>
  <si>
    <t>https://rehearttek.com/</t>
  </si>
  <si>
    <t>嚥下訓練器具「タン錬くん」</t>
  </si>
  <si>
    <t>和歌山県</t>
  </si>
  <si>
    <t>和歌山県和歌山市新庄４９０番地</t>
  </si>
  <si>
    <t>笠原佳代</t>
  </si>
  <si>
    <t>https://www.houjin-bangou.nta.go.jp/henkorireki-johoto.html?selHouzinNo=2170001014988</t>
  </si>
  <si>
    <t>株式会社9lione</t>
  </si>
  <si>
    <t>7010501042954</t>
  </si>
  <si>
    <t>https://www.9lione.net/</t>
  </si>
  <si>
    <t>クラウド医薬品管理システム「9lione」</t>
  </si>
  <si>
    <t>東京都杉並区高井戸西１丁目２番１０号</t>
  </si>
  <si>
    <t>廣田雄将</t>
  </si>
  <si>
    <t>https://www.houjin-bangou.nta.go.jp/henkorireki-johoto.html?selHouzinNo=7010501042954</t>
  </si>
  <si>
    <t>ウェルマーケ</t>
  </si>
  <si>
    <t>3010901041519</t>
  </si>
  <si>
    <t>https://wellmarket.jp/</t>
  </si>
  <si>
    <t>ドラッグストア・薬剤師求人サイトなど</t>
  </si>
  <si>
    <t>東京都世田谷区北烏山１丁目２４番７号</t>
  </si>
  <si>
    <t>与田良介</t>
  </si>
  <si>
    <t>https://www.houjin-bangou.nta.go.jp/henkorireki-johoto.html?selHouzinNo=3010901041519</t>
  </si>
  <si>
    <t>NOVENINE</t>
  </si>
  <si>
    <t>6120001210860</t>
  </si>
  <si>
    <t>https://novenine.com/aboutus</t>
  </si>
  <si>
    <t>スマート歯ブラシ</t>
  </si>
  <si>
    <t>大阪府大阪市中央区南船場２丁目２番２１号</t>
  </si>
  <si>
    <t>竹山旭,廣瀬智一</t>
  </si>
  <si>
    <t>竹山旭</t>
  </si>
  <si>
    <t>https://www.houjin-bangou.nta.go.jp/henkorireki-johoto.html?selHouzinNo=6120001210860</t>
  </si>
  <si>
    <t>株式会社フィルダクト</t>
  </si>
  <si>
    <t>4010001190199</t>
  </si>
  <si>
    <t>https://dpearl.jp/</t>
  </si>
  <si>
    <t>歯科矯正、マウスピース型</t>
  </si>
  <si>
    <t>東京都千代田区神田淡路町１丁目１５番地３西堀ビル２Ｆ</t>
  </si>
  <si>
    <t>金子奏絵</t>
  </si>
  <si>
    <t>https://www.houjin-bangou.nta.go.jp/henkorireki-johoto.html?selHouzinNo=4010001190199</t>
  </si>
  <si>
    <t>METRICA株式会社</t>
  </si>
  <si>
    <t>5011101083705</t>
  </si>
  <si>
    <t>https://metrica.me/</t>
  </si>
  <si>
    <t>在宅医療、病院、医療データ、DXコンサル系、慶應大学発</t>
  </si>
  <si>
    <t>東京都新宿区四谷４丁目２５番</t>
  </si>
  <si>
    <t>西村宇貴</t>
  </si>
  <si>
    <t>https://www.houjin-bangou.nta.go.jp/henkorireki-johoto.html?selHouzinNo=5011101083705</t>
  </si>
  <si>
    <t>wellness（株式会社ウェルネス）</t>
  </si>
  <si>
    <t>3011001122911</t>
  </si>
  <si>
    <t>https://wellness.jp/</t>
  </si>
  <si>
    <t>パーソナルドクターへの相談、予防医療、データベース化</t>
  </si>
  <si>
    <t>東京都渋谷区恵比寿南２丁目１９番７号</t>
  </si>
  <si>
    <t>中田航太郎</t>
  </si>
  <si>
    <t>https://www.houjin-bangou.nta.go.jp/henkorireki-johoto.html?selHouzinNo=3011001122911</t>
  </si>
  <si>
    <t>ヘルスケアテクノロジーズ株式会社</t>
  </si>
  <si>
    <t>6010001195683</t>
  </si>
  <si>
    <t>https://healthcare-tech.co.jp/</t>
  </si>
  <si>
    <t>HELPO、医療相談チャットサービス</t>
  </si>
  <si>
    <t>東京都港区芝２丁目２８番８号</t>
  </si>
  <si>
    <t>ソフトバンクと平安のJV</t>
  </si>
  <si>
    <t>大石怜史</t>
  </si>
  <si>
    <t>https://www.houjin-bangou.nta.go.jp/henkorireki-johoto.html?selHouzinNo=6010001195683</t>
  </si>
  <si>
    <t>aiwell株式会社</t>
  </si>
  <si>
    <t>7010601052795</t>
  </si>
  <si>
    <t>https://www.aiwelljapan.com/company/</t>
  </si>
  <si>
    <t>タンパク質のデジタル画像化、AI診断支援等、東京工業大学発</t>
  </si>
  <si>
    <t>東京都千代田区二番町９番地３</t>
  </si>
  <si>
    <t>馬渕浩幸</t>
  </si>
  <si>
    <t>https://www.houjin-bangou.nta.go.jp/henkorireki-johoto.html?selHouzinNo=7010601052795</t>
  </si>
  <si>
    <t>Craif 株式会社</t>
  </si>
  <si>
    <t>7010001192093</t>
  </si>
  <si>
    <t>https://craif.com/</t>
  </si>
  <si>
    <t>尿を用いたがん発見技術、名古屋大学発</t>
  </si>
  <si>
    <t>東京都文京区本郷３丁目３８番１４号</t>
  </si>
  <si>
    <t>小野瀨隆一</t>
  </si>
  <si>
    <t>https://www.houjin-bangou.nta.go.jp/henkorireki-johoto.html?selHouzinNo=7010001192093</t>
  </si>
  <si>
    <t>Aillis</t>
  </si>
  <si>
    <t>5011101082335</t>
  </si>
  <si>
    <t>https://aillis.jp/</t>
  </si>
  <si>
    <t>感染症診断用AI医療機器、病院・医師向け</t>
  </si>
  <si>
    <t>東京都千代田区有楽町１丁目１０番１号</t>
  </si>
  <si>
    <t>沖山翔</t>
  </si>
  <si>
    <t>https://www.houjin-bangou.nta.go.jp/henkorireki-johoto.html?selHouzinNo=5011101082335</t>
  </si>
  <si>
    <t>株式会社データック</t>
  </si>
  <si>
    <t>7010001194206</t>
  </si>
  <si>
    <t>https://datack.jp/</t>
  </si>
  <si>
    <t>医療現場におけるデータ活用</t>
  </si>
  <si>
    <t>東京都千代田区丸の内２丁目２番１号岸本ビルヂング６Ｆ</t>
  </si>
  <si>
    <t>二宮英樹</t>
  </si>
  <si>
    <t>https://www.houjin-bangou.nta.go.jp/henkorireki-johoto.html?selHouzinNo=7010001194206</t>
  </si>
  <si>
    <t>株式会社Inazma</t>
  </si>
  <si>
    <t>3290001086726</t>
  </si>
  <si>
    <t>https://inazma.co.jp</t>
  </si>
  <si>
    <t>クリニックの診療アプリケーション開発</t>
  </si>
  <si>
    <t>福岡県福岡市</t>
  </si>
  <si>
    <t>古賀俊介</t>
  </si>
  <si>
    <t>https://www.houjin-bangou.nta.go.jp/henkorireki-johoto.html?selHouzinNo=3290001086726</t>
  </si>
  <si>
    <t>3010401136240</t>
  </si>
  <si>
    <t>http://www.nobori.in/</t>
  </si>
  <si>
    <t>医療画像クラウド・医療情報連携</t>
  </si>
  <si>
    <t>東京都港区三田3-11-24 国際興業三田第2ビル</t>
  </si>
  <si>
    <t>テクマトリックと三井物産のJV</t>
  </si>
  <si>
    <t>依田佳久</t>
  </si>
  <si>
    <t>テクマトリックス株式会社　66.66％</t>
  </si>
  <si>
    <t>三井物産株式会社　33.34％</t>
  </si>
  <si>
    <t>https://www.houjin-bangou.nta.go.jp/henkorireki-johoto.html?selHouzinNo=3010401136240</t>
  </si>
  <si>
    <t>メドメイン株式会社</t>
  </si>
  <si>
    <t>2290001080259</t>
  </si>
  <si>
    <t>https://medmain.com/</t>
  </si>
  <si>
    <t>11億調達。病理画像診断</t>
  </si>
  <si>
    <t>福岡県福岡市中央区赤坂2-4−5 シャトレサクシーズ104</t>
  </si>
  <si>
    <t>飯塚統</t>
  </si>
  <si>
    <t>https://www.houjin-bangou.nta.go.jp/henkorireki-johoto.html?selHouzinNo=2290001080259</t>
  </si>
  <si>
    <t>株式会社HERBIO</t>
  </si>
  <si>
    <t>4010501041629</t>
  </si>
  <si>
    <t>https://herbio.co.jp/</t>
  </si>
  <si>
    <t>深部体温コンサル・体調記録サービス・研究支援</t>
  </si>
  <si>
    <t>東京都中央区日本橋小舟町7-12グリーンパーク日本橋三越前 1101</t>
  </si>
  <si>
    <t>田中彩諭理</t>
  </si>
  <si>
    <t>https://www.houjin-bangou.nta.go.jp/henkorireki-johoto.html?selHouzinNo=4010501041629</t>
  </si>
  <si>
    <t>Link Well</t>
  </si>
  <si>
    <t>8011001120349</t>
  </si>
  <si>
    <t>https://www.linc-well.com/</t>
  </si>
  <si>
    <t>医療機関DX及びオンライン診療</t>
  </si>
  <si>
    <t>東京都港区芝浦3-1-32 なぎさテラス5階</t>
  </si>
  <si>
    <t>金子和真</t>
  </si>
  <si>
    <t>https://www.houjin-bangou.nta.go.jp/henkorireki-johoto.html?selHouzinNo=8011001120349</t>
  </si>
  <si>
    <t>一般社団法人テレメディーズ</t>
  </si>
  <si>
    <t>9010005028548</t>
  </si>
  <si>
    <t>https://telemedease.org/</t>
  </si>
  <si>
    <t>高血圧オンライン診療、高血圧生活習慣に関わるコンサルティング</t>
  </si>
  <si>
    <t>東京都千代田区九段南1-5-6　りそな九段ビル5F KSフロア</t>
  </si>
  <si>
    <t>谷田部淳一</t>
  </si>
  <si>
    <t>https://www.houjin-bangou.nta.go.jp/henkorireki-johoto.html?selHouzinNo=9010005028548</t>
  </si>
  <si>
    <t>Save Medical</t>
  </si>
  <si>
    <t>7010001191789</t>
  </si>
  <si>
    <t>https://savemedical.jp/</t>
  </si>
  <si>
    <t>DMP/PHR</t>
  </si>
  <si>
    <t>科学的根拠に基づくデジタル療法を開発。具体での記載なし</t>
  </si>
  <si>
    <t>東京都中央区日本橋堀留町1-9-10　日本橋ライフサイエンスビルディング7 6F</t>
  </si>
  <si>
    <t>淺野正太郎</t>
  </si>
  <si>
    <t>株式会社日本医療機器開発機構（JOMDD）</t>
  </si>
  <si>
    <t>https://www.houjin-bangou.nta.go.jp/henkorireki-johoto.html?selHouzinNo=7010001191789</t>
  </si>
  <si>
    <t>トリコ</t>
  </si>
  <si>
    <t>7011001121918</t>
  </si>
  <si>
    <t>http://tricot-inc.com/</t>
  </si>
  <si>
    <t>パーソナライズサプリ・プロテイン・マスク</t>
  </si>
  <si>
    <t>東京都新宿区新宿2丁目3-15 5F</t>
  </si>
  <si>
    <t>藤井香那</t>
  </si>
  <si>
    <t>花房香那</t>
  </si>
  <si>
    <t>https://www.houjin-bangou.nta.go.jp/henkorireki-johoto.html?selHouzinNo=7011001121918</t>
  </si>
  <si>
    <t>株式会社MiL</t>
  </si>
  <si>
    <t>6011001120152</t>
  </si>
  <si>
    <t>https://mil-inc.com/</t>
  </si>
  <si>
    <t>ヘルスケアフードブランドの創発 プロダクトプロデュース 食品小売・卸売 レシピ開発 メディア運営</t>
  </si>
  <si>
    <t>東京都渋谷区桜丘町21-4 渋谷桜丘町ビル3F</t>
  </si>
  <si>
    <t>杉岡侑也</t>
  </si>
  <si>
    <t>https://www.houjin-bangou.nta.go.jp/henkorireki-johoto.html?selHouzinNo=6011001120152</t>
  </si>
  <si>
    <t>ジーエルティー</t>
  </si>
  <si>
    <t>5010001192780</t>
  </si>
  <si>
    <t>https://www.g-l-t.jp/</t>
  </si>
  <si>
    <t>ヘルスケアサービス、医療・ヘルスケア関連企業へのコンサルティングサービス、薬剤師・登録販売者向けの人材紹介サービス。具体で記載はなし</t>
  </si>
  <si>
    <t>東京都中央区日本橋箱崎町１番２号ＦｔＦビル2階</t>
  </si>
  <si>
    <t>https://www.houjin-bangou.nta.go.jp/henkorireki-johoto.html?selHouzinNo=5010001192780</t>
  </si>
  <si>
    <t>B&amp;W</t>
  </si>
  <si>
    <t>9011001122229</t>
  </si>
  <si>
    <t>https://bw-company.com/</t>
  </si>
  <si>
    <t>医療業界の改善を目指し魔法のような電子カルテを開発中</t>
  </si>
  <si>
    <t>東京都渋谷区広尾1-8-9 松石ビル403</t>
  </si>
  <si>
    <t>逆瀬川光人</t>
  </si>
  <si>
    <t>https://www.houjin-bangou.nta.go.jp/henkorireki-johoto.html?selHouzinNo=9011001122229</t>
  </si>
  <si>
    <t>beatfit</t>
  </si>
  <si>
    <t>1011001120074</t>
  </si>
  <si>
    <t>https://www.beatfit.jp/company</t>
  </si>
  <si>
    <t>自社開発サービス「BeatFit」の運営、アプリ分析/マーケティング支援業務、WEBサイト/アプリ制作支援業務</t>
  </si>
  <si>
    <t>東京都渋谷区渋谷1-11-1 COI西青山ビル3F SIG内</t>
  </si>
  <si>
    <t>本田雄一</t>
  </si>
  <si>
    <t>宮崎学</t>
  </si>
  <si>
    <t>https://www.houjin-bangou.nta.go.jp/henkorireki-johoto.html?selHouzinNo=1011001120074</t>
  </si>
  <si>
    <t>Oh my teeth</t>
  </si>
  <si>
    <t>7010701038372</t>
  </si>
  <si>
    <t>https://oh-my-teeth.com/</t>
  </si>
  <si>
    <t>マウスピースのD2C、オンライン矯正サービス</t>
  </si>
  <si>
    <t>東京都港区北青山３丁目１５−５ ポルトフィーノ 1F</t>
  </si>
  <si>
    <t>長渕千弘</t>
  </si>
  <si>
    <t>西野誠</t>
  </si>
  <si>
    <t>https://www.houjin-bangou.nta.go.jp/henkorireki-johoto.html?selHouzinNo=7010701038372</t>
  </si>
  <si>
    <t>株式会社omniheal</t>
  </si>
  <si>
    <t>4011201021490</t>
  </si>
  <si>
    <t>https://omniheal.jp/</t>
  </si>
  <si>
    <t>医療・ヘルスケアに特化したクリエイティブ・エージェンシ。医療機器開発や医療監修、ブランディング、開業支援など幅広い</t>
  </si>
  <si>
    <t>東京都中野区中野5-52-15 703</t>
  </si>
  <si>
    <t>石井洋介</t>
  </si>
  <si>
    <t>https://www.houjin-bangou.nta.go.jp/henkorireki-johoto.html?selHouzinNo=4011201021490</t>
  </si>
  <si>
    <t>株式会社empheal</t>
  </si>
  <si>
    <t>1010001199714</t>
  </si>
  <si>
    <t>https://empheal.co.jp/</t>
  </si>
  <si>
    <t>従業員の健康状態や生産性の「可視化」をはじめ、様々な健康経営課題に対しての「推進プランニング」を通して、企業の実情に即し た「打ち手(ソリューション)」を提供いたします。</t>
  </si>
  <si>
    <t>東京都千代田区丸の内３丁目２番２号</t>
  </si>
  <si>
    <t>ドコモとM3のJV</t>
  </si>
  <si>
    <t>西口考広</t>
  </si>
  <si>
    <t>https://www.houjin-bangou.nta.go.jp/henkorireki-johoto.html?selHouzinNo=1010001199714</t>
  </si>
  <si>
    <t>メディカルフューチャー</t>
  </si>
  <si>
    <t>血液検査を、もっと身近に、もっと手軽に。</t>
  </si>
  <si>
    <t>東京都台東区東上野２丁目８番８号エステート梶山１Ｆ</t>
  </si>
  <si>
    <t>富川雅雄</t>
  </si>
  <si>
    <t>https://www.houjin-bangou.nta.go.jp/henkorireki-johoto.html?selHouzinNo=2010502020121</t>
  </si>
  <si>
    <t>emol株式会社</t>
  </si>
  <si>
    <t>https://emol.jp/</t>
  </si>
  <si>
    <t>京都府京都市下京区中堂寺粟田町９３ＫＲＰ４号館３階ＫＲＰＢＩＺＮＥＸＴ</t>
  </si>
  <si>
    <t>千頭沙織/武川大輝</t>
  </si>
  <si>
    <t>千頭沙織</t>
  </si>
  <si>
    <t>https://www.houjin-bangou.nta.go.jp/henkorireki-johoto.html?selHouzinNo=5010501043871</t>
  </si>
  <si>
    <t>Relook株式会社</t>
  </si>
  <si>
    <t>https://www.relook.jp</t>
  </si>
  <si>
    <t xml:space="preserve">睡眠専門医や精神科医のサポートを受けた瞑想音声コンテンツを保有する本格的マインドフルネス瞑想アプリです。
</t>
  </si>
  <si>
    <t>東京都世田谷区奥沢３丁目１８番１９号</t>
  </si>
  <si>
    <t>熊谷祐</t>
  </si>
  <si>
    <t>https://www.houjin-bangou.nta.go.jp/henkorireki-johoto.html?selHouzinNo=9010901043682</t>
  </si>
  <si>
    <t>ランドリーボックス 株式会社</t>
  </si>
  <si>
    <t>https://laundrybox.co.jp/</t>
  </si>
  <si>
    <t>女性の身体の悩みや好みに合わせた選択肢を、商品とコンテンツで届けるメディアコマース</t>
  </si>
  <si>
    <t>東京都渋谷区神南１丁目１１番５号</t>
  </si>
  <si>
    <t>西本美沙</t>
  </si>
  <si>
    <t>https://www.houjin-bangou.nta.go.jp/henkorireki-johoto.html?selHouzinNo=7011001126636</t>
  </si>
  <si>
    <t>株式会社Entale</t>
  </si>
  <si>
    <t>https://entale.jp/</t>
  </si>
  <si>
    <t>生理予測・共有アプリ「ペアケア」の運営、ノンカフェインサプリメント『Awake』の企画・販売</t>
  </si>
  <si>
    <t>東京都渋谷区神南１丁目１１番３号</t>
  </si>
  <si>
    <t>酒匂ひな子</t>
  </si>
  <si>
    <t>https://www.houjin-bangou.nta.go.jp/henkorireki-johoto.html?selHouzinNo=4010401148978</t>
  </si>
  <si>
    <t>エンパワテック ソサエティー株式会社</t>
  </si>
  <si>
    <t>https://empowertec.co.jp/</t>
  </si>
  <si>
    <t>「ベビmatch」アプリケーション開発運営</t>
  </si>
  <si>
    <t>福岡県福岡市博多区博多駅前２丁目１９番１７号トーカン博多第５ビル３１２号室</t>
  </si>
  <si>
    <t>廣重元子</t>
  </si>
  <si>
    <t>https://www.houjin-bangou.nta.go.jp/henkorireki-johoto.html?selHouzinNo=7290001086862</t>
  </si>
  <si>
    <t>LINEヘルスケア</t>
  </si>
  <si>
    <t>https://linecorp.com/ja/company/info</t>
  </si>
  <si>
    <t>"遠隔健康医療相談"サービス</t>
  </si>
  <si>
    <t>東京都新宿区四谷１丁目６番１号</t>
  </si>
  <si>
    <t>エムスリーとLINEのJV</t>
  </si>
  <si>
    <t>出澤剛</t>
  </si>
  <si>
    <t>https://www.houjin-bangou.nta.go.jp/henkorireki-johoto.html?selHouzinNo=8011101086498</t>
  </si>
  <si>
    <t>Activaid</t>
  </si>
  <si>
    <t>https://activaid.me/company</t>
  </si>
  <si>
    <t>炎症性腸疾患（IBD）の患者向けに、臨床試験（治験）をマッチングする機能の提供</t>
  </si>
  <si>
    <t>長谷部靖明</t>
  </si>
  <si>
    <t>https://www.houjin-bangou.nta.go.jp/henkorireki-johoto.html?selHouzinNo=1011101083989</t>
  </si>
  <si>
    <t>株式会社アロエ</t>
  </si>
  <si>
    <t>https://alloeh.jp/corporate</t>
  </si>
  <si>
    <t>サプリデータベース</t>
  </si>
  <si>
    <t>東京都渋谷区渋谷３丁目１－９ＹＡＺＡＷＡビル３階</t>
  </si>
  <si>
    <t>副島侑汰朗</t>
  </si>
  <si>
    <t>https://www.houjin-bangou.nta.go.jp/henkorireki-johoto.html?selHouzinNo=5011001127462</t>
  </si>
  <si>
    <t>わたし漢方株式会社</t>
  </si>
  <si>
    <t>https://www.watashikampo.com/</t>
  </si>
  <si>
    <t>専門家に相談したい人々と、薬剤師をつなぐオンラインチャット相談サービス「わたし漢方」</t>
  </si>
  <si>
    <t>東京都渋谷区渋谷２丁目４番９号第２本間ビル３０１号</t>
  </si>
  <si>
    <t>水沼未雅</t>
  </si>
  <si>
    <t>丸山優菜</t>
  </si>
  <si>
    <t>https://www.houjin-bangou.nta.go.jp/henkorireki-johoto.html?selHouzinNo=6011001116530</t>
  </si>
  <si>
    <t>アースヘルスケア株式会社</t>
  </si>
  <si>
    <t>https://corp.earth.jp/jp/news/2019/pdf/20190905-01.pdf</t>
  </si>
  <si>
    <t>歯科分野のマッチング</t>
  </si>
  <si>
    <t>東京都港区芝大門１丁目２番１３号</t>
  </si>
  <si>
    <t>アース製薬とエンパワーヘルスケアとのJV</t>
  </si>
  <si>
    <t>中川亮</t>
  </si>
  <si>
    <t>https://www.houjin-bangou.nta.go.jp/henkorireki-johoto.html?selHouzinNo=4010401148037</t>
  </si>
  <si>
    <t>株式会社MG-DX</t>
  </si>
  <si>
    <t>https://www.mg-dx.co.jp/</t>
  </si>
  <si>
    <t>薬局DX支援</t>
  </si>
  <si>
    <t>東京都渋谷区渋谷２丁目２４番１２号</t>
  </si>
  <si>
    <t>堂前紀郎(サイバーエージェント子会社)</t>
  </si>
  <si>
    <t>堂前紀郎</t>
  </si>
  <si>
    <t>サイバーエージェント</t>
  </si>
  <si>
    <t>https://www.houjin-bangou.nta.go.jp/henkorireki-johoto.html?selHouzinNo=2011001133744</t>
  </si>
  <si>
    <t>Contrea株式会社</t>
  </si>
  <si>
    <t>https://www.contrea.jp/</t>
  </si>
  <si>
    <t>ICに特化した医療情報オーダーシステム「MediOS（メディオス）」を開発</t>
  </si>
  <si>
    <t>東京都板橋区向原３丁目７番</t>
  </si>
  <si>
    <t>川端一広​</t>
  </si>
  <si>
    <t>https://www.houjin-bangou.nta.go.jp/henkorireki-johoto.html?selHouzinNo=3011401022356</t>
  </si>
  <si>
    <t>株式会社OPERe</t>
  </si>
  <si>
    <t>https://www.opere.jp/</t>
  </si>
  <si>
    <t>患者と医療者のコミュニケーションアプリ開発と運営</t>
  </si>
  <si>
    <t>東京都港区南青山7-3-6 南青山HYビル 7F荒井倶楽部内</t>
  </si>
  <si>
    <t>澤田優香</t>
  </si>
  <si>
    <t>https://www.houjin-bangou.nta.go.jp/henkorireki-johoto.html?selHouzinNo=1010901046395</t>
  </si>
  <si>
    <t>Mederi</t>
  </si>
  <si>
    <t>https://mederi.jp/</t>
  </si>
  <si>
    <t>女性の心と体のバランスを整えるサービス</t>
  </si>
  <si>
    <t>東京都渋谷区渋谷２丁目１０番１５号</t>
  </si>
  <si>
    <t>坂梨亜里咲</t>
  </si>
  <si>
    <t>https://www.houjin-bangou.nta.go.jp/henkorireki-johoto.html?selHouzinNo=3010401147312</t>
  </si>
  <si>
    <t>holoash</t>
  </si>
  <si>
    <t>https://holoash.com/</t>
  </si>
  <si>
    <t>発達障害/アメリカ</t>
  </si>
  <si>
    <t>東京都渋谷区桜丘町２７番１号</t>
  </si>
  <si>
    <t>Kishi Yoshua</t>
  </si>
  <si>
    <t>https://www.houjin-bangou.nta.go.jp/henkorireki-johoto.html?selHouzinNo=1700150099389</t>
  </si>
  <si>
    <t>fermata株式会社</t>
  </si>
  <si>
    <t>https://hellofermata.com/</t>
  </si>
  <si>
    <t>フェムテック専用オンラインストア運営</t>
  </si>
  <si>
    <t>東京都品川区上大崎４丁目３－１４フラワーヒル目黒５０４</t>
  </si>
  <si>
    <t>Amina Sugimoto, DrPH</t>
  </si>
  <si>
    <t>https://www.houjin-bangou.nta.go.jp/henkorireki-johoto.html?selHouzinNo=4010701038383</t>
  </si>
  <si>
    <t>株式会社ninpath</t>
  </si>
  <si>
    <t>https://ninpath.com/</t>
  </si>
  <si>
    <t>不妊治療の記録・管理、統計データ</t>
  </si>
  <si>
    <t>東京都港区新橋１丁目１２番９号７階</t>
  </si>
  <si>
    <t>https://www.houjin-bangou.nta.go.jp/henkorireki-johoto.html?selHouzinNo=3010401151454</t>
  </si>
  <si>
    <t>株式会社コレロ</t>
  </si>
  <si>
    <t>https://minin.jp/</t>
  </si>
  <si>
    <t>不妊治療経過管理アプリ</t>
  </si>
  <si>
    <t>東京都中野区新井１丁目３６－９ＴａｎｄＦｎａｋａｎｏ７－２０３号</t>
  </si>
  <si>
    <t>https://www.houjin-bangou.nta.go.jp/henkorireki-johoto.html?selHouzinNo=9010901042115</t>
  </si>
  <si>
    <t>ドクターメイト株式会社</t>
  </si>
  <si>
    <t>https://doctormate.co.jp/</t>
  </si>
  <si>
    <t>介護, 健康相談</t>
  </si>
  <si>
    <t>東京都港区虎ノ門１丁目１６番６号虎ノ門ラポートビルＵＣＦ７０３</t>
  </si>
  <si>
    <t>青柳直樹</t>
  </si>
  <si>
    <t>https://www.houjin-bangou.nta.go.jp/henkorireki-johoto.html?selHouzinNo=4040001102829</t>
  </si>
  <si>
    <t>MEDRiNG株式会社</t>
  </si>
  <si>
    <t>https://metic.jp/jp/medring/</t>
  </si>
  <si>
    <t>スマートクリニックチェーンを、ベトナム全土へ、東南アジアへ</t>
  </si>
  <si>
    <t>東京都文京区本郷5-1-16VORT本郷11F</t>
  </si>
  <si>
    <t>安部一真</t>
  </si>
  <si>
    <t>https://www.houjin-bangou.nta.go.jp/henkorireki-johoto.html?selHouzinNo=6010001199148</t>
  </si>
  <si>
    <t>株式会社 OUI</t>
  </si>
  <si>
    <t>https://www.ouiinc.jp/</t>
  </si>
  <si>
    <t>スマホで眼底検査</t>
  </si>
  <si>
    <t>東京都新宿区新宿1-36-2 新宿第七葉山ビル3F</t>
  </si>
  <si>
    <t>清水映輔</t>
  </si>
  <si>
    <t>https://www.houjin-bangou.nta.go.jp/henkorireki-johoto.html?selHouzinNo=1011101077702</t>
  </si>
  <si>
    <t>株式会社 Magic Shields</t>
  </si>
  <si>
    <t>https://www.magicshields.co.jp/</t>
  </si>
  <si>
    <t>大腿骨骨折が原因で『寝たきり』になる人をゼロにする</t>
  </si>
  <si>
    <t>静岡県浜松市中区鍛冶町１００－１ザザシティ浜松中央館Ｂ１Ｆ、ＦＵＳＥ</t>
  </si>
  <si>
    <t>下村明司</t>
  </si>
  <si>
    <t>https://www.houjin-bangou.nta.go.jp/henkorireki-johoto.html?selHouzinNo=3080401024001</t>
  </si>
  <si>
    <t>株式会社フロンティア・フィールド</t>
  </si>
  <si>
    <t>https://www.frontierfield.co.jp/</t>
  </si>
  <si>
    <t>自院と競合病院のかかえる患者を、病名・平均的な在院日数ごとに比較分析し、病院の差別化を後押しする「DPC病院分析サービス」</t>
  </si>
  <si>
    <t>東京都千代田区内幸町1-1-1 帝国ホテルタワー 12階</t>
  </si>
  <si>
    <t>平野浩治/佐藤康行</t>
  </si>
  <si>
    <t>https://www.houjin-bangou.nta.go.jp/henkorireki-johoto.html?selHouzinNo=2010901038516</t>
  </si>
  <si>
    <t>LaView株式会社</t>
  </si>
  <si>
    <t>https://laview.jp/</t>
  </si>
  <si>
    <t>血管の動脈硬化評価</t>
  </si>
  <si>
    <t>愛知県名古屋市千種区不老町１番地</t>
  </si>
  <si>
    <t>益田博之</t>
  </si>
  <si>
    <t>https://www.houjin-bangou.nta.go.jp/henkorireki-johoto.html?selHouzinNo=8180001134350</t>
  </si>
  <si>
    <t>株式会社Medii</t>
  </si>
  <si>
    <t>https://medii.jp/</t>
  </si>
  <si>
    <t>地域医療における専門医不足問題の解決を目指した事業を展開</t>
  </si>
  <si>
    <t>東京都新宿区富久町１５番１－３０２２号</t>
  </si>
  <si>
    <t>山田裕揮</t>
  </si>
  <si>
    <t>https://www.houjin-bangou.nta.go.jp/henkorireki-johoto.html?selHouzinNo=7011101090575</t>
  </si>
  <si>
    <t>株式会社シルバコンパス</t>
  </si>
  <si>
    <t>https://silvacompass.co.jp/</t>
  </si>
  <si>
    <t>人材不足である薬剤師の調剤業務の分業化を可能にするピッキング支援システム「PickingCompass」の企画・開発。</t>
  </si>
  <si>
    <t>静岡県浜松市中区和地山3-1-7</t>
  </si>
  <si>
    <t>井本健太郎</t>
  </si>
  <si>
    <t>安田晴彦</t>
  </si>
  <si>
    <t>https://www.houjin-bangou.nta.go.jp/henkorireki-johoto.html?selHouzinNo=8080401023865</t>
  </si>
  <si>
    <t>株式会社Smart119</t>
  </si>
  <si>
    <t>https://smart119.biz/</t>
  </si>
  <si>
    <t>救急</t>
  </si>
  <si>
    <t>音声認識とAIを活用した救急医療支援システム「Smart119」の開発・運用。</t>
  </si>
  <si>
    <t>千葉県千葉市中央区中央２丁目５番１号千葉中央ツインビル２号館７階</t>
  </si>
  <si>
    <t>中田孝明</t>
  </si>
  <si>
    <t>https://www.houjin-bangou.nta.go.jp/henkorireki-johoto.html?selHouzinNo=9040001104713</t>
  </si>
  <si>
    <t>株式会社ブレインスリープ</t>
  </si>
  <si>
    <t>https://brain-sleep.com/</t>
  </si>
  <si>
    <t>睡眠</t>
  </si>
  <si>
    <t>睡眠に特化した企業への睡眠コンサルティングやITを活用したサービス、医学的根拠がある睡眠情報の発信などを行う。</t>
  </si>
  <si>
    <t>東京都千代田区丸の内２丁目７番２号</t>
  </si>
  <si>
    <t>西野精治</t>
  </si>
  <si>
    <t>https://www.houjin-bangou.nta.go.jp/henkorireki-johoto.html?selHouzinNo=5010001200758</t>
  </si>
  <si>
    <t>ドクターズモバイル株式会社</t>
  </si>
  <si>
    <t>https://doctorsmobile.jp/</t>
  </si>
  <si>
    <t>診断支援</t>
  </si>
  <si>
    <t>「医師が伝えきれなかった情報」を紙で伝えるサービス「おみやげカルテ」を提供</t>
  </si>
  <si>
    <t>リタワークス株式会社</t>
  </si>
  <si>
    <t>https://ritaworks.jp/</t>
  </si>
  <si>
    <t>https://medigle.jp/</t>
  </si>
  <si>
    <t>大阪府大阪市西区江戸堀１丁目２２－１７西船場辰巳ビル６Ｆ</t>
  </si>
  <si>
    <t>佐藤正隆</t>
  </si>
  <si>
    <t>https://www.houjin-bangou.nta.go.jp/henkorireki-johoto.html?selHouzinNo=1120001131112</t>
  </si>
  <si>
    <t>リアルワールドデータ株式会社</t>
  </si>
  <si>
    <t>https://rwdata.co.jp/</t>
  </si>
  <si>
    <t>妊婦健診情報・乳幼児健診・学校健診・診療情報に基づく各データベースの構築及び当該データの利活用を通じた医療・製薬業界向けにサービスを展開</t>
  </si>
  <si>
    <t xml:space="preserve">京都府京都市中京区小川通丸太町下る中之町76
</t>
  </si>
  <si>
    <t>尾板靖子</t>
  </si>
  <si>
    <t>https://www.houjin-bangou.nta.go.jp/henkorireki-johoto.html?selHouzinNo=4130001055704</t>
  </si>
  <si>
    <t>株式会社ココドコロ</t>
  </si>
  <si>
    <t>https://www.kokodokoro.com/</t>
  </si>
  <si>
    <t>オンラインカウンセリング</t>
  </si>
  <si>
    <t>東京都中野区中野４丁目１０番１号</t>
  </si>
  <si>
    <t>遠山慎一</t>
  </si>
  <si>
    <t>https://www.houjin-bangou.nta.go.jp/henkorireki-johoto.html?selHouzinNo=2011201020908</t>
  </si>
  <si>
    <t>アガサ株式会社</t>
  </si>
  <si>
    <t>https://www.agathalife.com/</t>
  </si>
  <si>
    <t>規制対象文書の管理システム</t>
  </si>
  <si>
    <t>東京都中央区日本橋箱崎町1-2 FtFビル2F</t>
  </si>
  <si>
    <t>鎌倉千恵美</t>
  </si>
  <si>
    <t>https://www.houjin-bangou.nta.go.jp/henkorireki-johoto.html?selHouzinNo=3010001170912</t>
  </si>
  <si>
    <t>株式会社FRoots</t>
  </si>
  <si>
    <t>https://wemeet.co.jp/inc</t>
  </si>
  <si>
    <t>精神科のオンライン診療サービス</t>
  </si>
  <si>
    <t>東京都新宿区新宿1-36-2 新宿第七葉山ビル3階</t>
  </si>
  <si>
    <t>バローチニールジブラン</t>
  </si>
  <si>
    <t>https://initial.inc/companies/A-38951</t>
  </si>
  <si>
    <t>株式会社HealthCareGate</t>
  </si>
  <si>
    <t>https://healthcaregate.co.jp/</t>
  </si>
  <si>
    <t>オンライン薬剤師サービス</t>
  </si>
  <si>
    <t>神奈川県横浜市西区浅間町2-100-6</t>
  </si>
  <si>
    <t>保田浩文</t>
  </si>
  <si>
    <t>DRG合同会社</t>
  </si>
  <si>
    <t>https://www.houjin-bangou.nta.go.jp/henkorireki-johoto.html?selHouzinNo=6020001131530</t>
  </si>
  <si>
    <t>PST 株式会社</t>
  </si>
  <si>
    <t>https://medical-pst.com/</t>
  </si>
  <si>
    <t>心の状態見える化アプリの開発</t>
  </si>
  <si>
    <t>神奈川県横浜市中区山下町2番地　産業貿易センタービル905号室</t>
  </si>
  <si>
    <t>大塚寛</t>
  </si>
  <si>
    <t>https://www.houjin.info/detail/8010001145166/</t>
  </si>
  <si>
    <t>株式会社ヒューマノーム研究所</t>
  </si>
  <si>
    <t>https://humanome.jp/</t>
  </si>
  <si>
    <t>健康データ計測、AIツール開発等</t>
  </si>
  <si>
    <t>東京都中央区築地2-4-10 SAテンハウス2階</t>
  </si>
  <si>
    <t>瀬々潤</t>
  </si>
  <si>
    <t>株式会社リバネス</t>
  </si>
  <si>
    <t>https://www.houjin-bangou.nta.go.jp/henkorireki-johoto.html?selHouzinNo=4360003006070</t>
  </si>
  <si>
    <t>ノックオンザドア株式会社</t>
  </si>
  <si>
    <t>https://knockonthedoor.jp/</t>
  </si>
  <si>
    <t>てんかんソリューションをtoC, toHでそれぞれ</t>
  </si>
  <si>
    <t>東京都新宿区市谷八幡町2-1 DS市ヶ谷ビル3F</t>
  </si>
  <si>
    <t>林泰臣</t>
  </si>
  <si>
    <t>https://www.houjin-bangou.nta.go.jp/henkorireki-johoto.html?selHouzinNo=1010001193535</t>
  </si>
  <si>
    <t>Flagelin</t>
  </si>
  <si>
    <t>https://flagellin.com/</t>
  </si>
  <si>
    <t>製薬・医療機器企業のマーケティング支援ツールの開発</t>
  </si>
  <si>
    <t>東京都世田谷区三軒茶屋1-5-9-304</t>
  </si>
  <si>
    <t>阪本怜</t>
  </si>
  <si>
    <t>https://www.houjin-bangou.nta.go.jp/henkorireki-johoto.html?selHouzinNo=1010901040290</t>
  </si>
  <si>
    <t>株式会社Yuimedi</t>
  </si>
  <si>
    <t>https://yuimedi.com/home</t>
  </si>
  <si>
    <t>インキュベイトファンドが出資</t>
  </si>
  <si>
    <t>東京都港区赤坂１丁目１２番３２号</t>
  </si>
  <si>
    <t>グライムス英美里</t>
  </si>
  <si>
    <t>https://www.houjin-bangou.nta.go.jp/kensaku-kekka.html</t>
  </si>
  <si>
    <t>Obot AI</t>
  </si>
  <si>
    <t>https://obotai-healthcare.com/</t>
  </si>
  <si>
    <t>保険</t>
  </si>
  <si>
    <t>健保向け事業</t>
  </si>
  <si>
    <t>東京都渋谷区恵比寿２丁目６番２５号上田ビル３階</t>
  </si>
  <si>
    <t>https://www.houjin-bangou.nta.go.jp/henkorireki-johoto.html?selHouzinNo=1011001129784</t>
  </si>
  <si>
    <t>ハヤレジ株式会社</t>
  </si>
  <si>
    <t>https://hayaregi.jp/</t>
  </si>
  <si>
    <t>医療機関向けPOSレジ</t>
  </si>
  <si>
    <t>大阪府大阪市北区天神西町３番３号</t>
  </si>
  <si>
    <t>藤本俊克</t>
  </si>
  <si>
    <t>https://www.houjin-bangou.nta.go.jp/henkorireki-johoto.html?selHouzinNo=7120001226716</t>
  </si>
  <si>
    <t>大カテゴリー</t>
  </si>
  <si>
    <t>小カテゴリー</t>
  </si>
  <si>
    <t>slug</t>
  </si>
  <si>
    <t>疾患</t>
  </si>
  <si>
    <t>femtech</t>
  </si>
  <si>
    <t>x</t>
  </si>
  <si>
    <t>mental-health</t>
  </si>
  <si>
    <t>dental</t>
  </si>
  <si>
    <t>home-medical</t>
  </si>
  <si>
    <t>medical-cosmetic</t>
  </si>
  <si>
    <t>first-aid</t>
  </si>
  <si>
    <t>sleep</t>
  </si>
  <si>
    <t>ソリューション</t>
  </si>
  <si>
    <t>medical-dx</t>
  </si>
  <si>
    <t>pharmacy-dx</t>
  </si>
  <si>
    <t>diagnostic-support</t>
  </si>
  <si>
    <t>direct-to-consumer</t>
  </si>
  <si>
    <t>medical-image</t>
  </si>
  <si>
    <t>simple-inspection</t>
  </si>
  <si>
    <t>electronic-health-record</t>
  </si>
  <si>
    <t>手術支援</t>
  </si>
  <si>
    <t>surgical-support</t>
  </si>
  <si>
    <t>telemedicine</t>
  </si>
  <si>
    <t>health-consulting</t>
  </si>
  <si>
    <t>DMP</t>
  </si>
  <si>
    <t>disease-management-program</t>
  </si>
  <si>
    <t>personal-health-record</t>
  </si>
  <si>
    <t>insuarance</t>
  </si>
  <si>
    <t>医療機関SaaS</t>
  </si>
  <si>
    <t>medical-saas</t>
  </si>
  <si>
    <t>RWD</t>
  </si>
  <si>
    <t>real-world-data</t>
  </si>
  <si>
    <t>事業領域</t>
  </si>
  <si>
    <t>health-corporate-management</t>
  </si>
  <si>
    <t>recruting-solutions</t>
  </si>
  <si>
    <t>clinic-chain</t>
  </si>
  <si>
    <t>medical-device</t>
  </si>
  <si>
    <t>nursing</t>
  </si>
  <si>
    <t>medical-materials</t>
  </si>
  <si>
    <t>pharma-marketing-support</t>
  </si>
  <si>
    <t>home-visit-nursing</t>
  </si>
  <si>
    <t>注目度</t>
  </si>
  <si>
    <t>創業年</t>
  </si>
  <si>
    <t>Chaosmap</t>
  </si>
  <si>
    <t>更新日</t>
  </si>
  <si>
    <t>Founders</t>
  </si>
  <si>
    <t>CrunchBase</t>
  </si>
  <si>
    <t>Angel List</t>
  </si>
  <si>
    <t>メモ</t>
  </si>
  <si>
    <t>Telemedicine</t>
  </si>
  <si>
    <t>First Consultation</t>
  </si>
  <si>
    <t>Online Medicine</t>
  </si>
  <si>
    <t>Cancer</t>
  </si>
  <si>
    <t>Security</t>
  </si>
  <si>
    <t>Development tool</t>
  </si>
  <si>
    <t>Insurelance</t>
  </si>
  <si>
    <t>Nursing</t>
  </si>
  <si>
    <t>Fitness</t>
  </si>
  <si>
    <t>Medical Image</t>
  </si>
  <si>
    <t>Analytics</t>
  </si>
  <si>
    <t>EHR</t>
  </si>
  <si>
    <t>Clinic Chain</t>
  </si>
  <si>
    <t>Web Media</t>
  </si>
  <si>
    <t>一言メモ</t>
  </si>
  <si>
    <t>Forward</t>
  </si>
  <si>
    <t>A</t>
  </si>
  <si>
    <t>https://goforward.com/</t>
  </si>
  <si>
    <t>Active</t>
  </si>
  <si>
    <t>done</t>
  </si>
  <si>
    <t>Adrian Aoun</t>
  </si>
  <si>
    <t>https://www.crunchbase.com/organization/goforward#section-overview</t>
  </si>
  <si>
    <t>https://angel.co/company/forwardinc</t>
  </si>
  <si>
    <t>One Medical</t>
  </si>
  <si>
    <t>https://www.onemedical.com/</t>
  </si>
  <si>
    <t>Tom X. Lee, MD</t>
  </si>
  <si>
    <t>https://www.crunchbase.com/organization/one-medical-group#section-overview</t>
  </si>
  <si>
    <t>https://angel.co/company/one-medical/jobs</t>
  </si>
  <si>
    <t>Unicorn</t>
  </si>
  <si>
    <t>WellDoc</t>
  </si>
  <si>
    <t>https://www.welldoc.com/</t>
  </si>
  <si>
    <t>Kevin McRaith</t>
  </si>
  <si>
    <t>https://www.crunchbase.com/organization/welldoc#section-overview</t>
  </si>
  <si>
    <t>https://angel.co/company/welldoc</t>
  </si>
  <si>
    <t>エビデンスやばい</t>
  </si>
  <si>
    <t>https://www.welldoc.com/product/</t>
  </si>
  <si>
    <t>athenaHealth</t>
  </si>
  <si>
    <t>https://www.athenahealth.com/</t>
  </si>
  <si>
    <t>IPO</t>
  </si>
  <si>
    <t>Todd Park</t>
  </si>
  <si>
    <t>https://www.crunchbase.com/organization/athenahealth#section-overview</t>
  </si>
  <si>
    <t>https://angel.co/company/athenahealth</t>
  </si>
  <si>
    <t>ZocDoc</t>
  </si>
  <si>
    <t>https://www.zocdoc.com/</t>
  </si>
  <si>
    <t>Cyrus Massoumi, Nick Ganju, Oliver Kharraz</t>
  </si>
  <si>
    <t>https://www.crunchbase.com/organization/zocdoc</t>
  </si>
  <si>
    <t>https://angel.co/company/zocdoc</t>
  </si>
  <si>
    <t>診察予約</t>
  </si>
  <si>
    <t>Peloton</t>
  </si>
  <si>
    <t>https://www.onepeloton.com/bike</t>
  </si>
  <si>
    <t>Dion Weisler, Graham Stanton, John Foley, Tom Cortese, Yony Feng</t>
  </si>
  <si>
    <t>https://www.crunchbase.com/organization/peloton-interactive#section-overview</t>
  </si>
  <si>
    <t>https://www.onepeloton.com/</t>
  </si>
  <si>
    <t>ライブフィットネス講座</t>
  </si>
  <si>
    <t>PillPack</t>
  </si>
  <si>
    <t>https://www.pillpack.com/</t>
  </si>
  <si>
    <t>Acquired</t>
  </si>
  <si>
    <t>Brian Hoffer, Elliot Cohen, TJ Parker</t>
  </si>
  <si>
    <t>https://www.crunchbase.com/organization/pillpack#section-overview</t>
  </si>
  <si>
    <t>Omada health</t>
  </si>
  <si>
    <t>https://www.omadahealth.com/</t>
  </si>
  <si>
    <t>Kim Barnett, Bruce Satchwell, David Albert</t>
  </si>
  <si>
    <t>https://www.crunchbase.com/organization/omada-health#section-overview</t>
  </si>
  <si>
    <t>WebMD</t>
  </si>
  <si>
    <t>https://www.webmd.com/</t>
  </si>
  <si>
    <t>Bruce Springer</t>
  </si>
  <si>
    <t>https://www.crunchbase.com/organization/webmd#section-overview</t>
  </si>
  <si>
    <t>oscar health</t>
  </si>
  <si>
    <t>https://www.hioscar.com/</t>
  </si>
  <si>
    <t>医療保険</t>
  </si>
  <si>
    <t>United Health</t>
  </si>
  <si>
    <t>https://www.unitedhealthgroup.com/</t>
  </si>
  <si>
    <t>amino</t>
  </si>
  <si>
    <t>https://partners.amino.com/home</t>
  </si>
  <si>
    <t>病院検索</t>
  </si>
  <si>
    <t>医療費の自動推定</t>
  </si>
  <si>
    <t>TruePill</t>
  </si>
  <si>
    <t>https://www.truepill.com/</t>
  </si>
  <si>
    <t>医薬品配達のバックエンドサービス</t>
  </si>
  <si>
    <t>Livongo</t>
  </si>
  <si>
    <t>https://www.livongo.com/</t>
  </si>
  <si>
    <t>生活習慣病サポート</t>
  </si>
  <si>
    <t>AliveCor</t>
  </si>
  <si>
    <t>B</t>
  </si>
  <si>
    <t>https://www.alivecor.com/</t>
  </si>
  <si>
    <t>Omronと事業提携</t>
  </si>
  <si>
    <t>Smile Direct Club</t>
  </si>
  <si>
    <t>https://smiledirectclub.com/</t>
  </si>
  <si>
    <t>Alex Fenkell, Jordan Katzman</t>
  </si>
  <si>
    <t>https://www.crunchbase.com/organization/smilecareclub#section-overview</t>
  </si>
  <si>
    <t>歯科矯正</t>
  </si>
  <si>
    <t>歯科領域D2C</t>
  </si>
  <si>
    <t>Basis</t>
  </si>
  <si>
    <t>https://www.mybasis.com/</t>
  </si>
  <si>
    <t>オンラインセラピー</t>
  </si>
  <si>
    <t>Hometeam</t>
  </si>
  <si>
    <t>https://hometeamhealth.com/</t>
  </si>
  <si>
    <t>https://angel.co/hometeam</t>
  </si>
  <si>
    <t>在宅医療におけるサービス提供者とユーザーのマッチングサービス</t>
  </si>
  <si>
    <t>Studio Dental</t>
  </si>
  <si>
    <t>https://www.studiodental.com/home</t>
  </si>
  <si>
    <t>Modern Fertility</t>
  </si>
  <si>
    <t>https://modernfertility.com/</t>
  </si>
  <si>
    <t>不妊治療検査</t>
  </si>
  <si>
    <t>AiCure</t>
  </si>
  <si>
    <t>https://aicure.com/</t>
  </si>
  <si>
    <t>Practo</t>
  </si>
  <si>
    <t>https://www.practo.com/</t>
  </si>
  <si>
    <t>最適医師検索</t>
  </si>
  <si>
    <t>Ritual</t>
  </si>
  <si>
    <t>https://ritual.com/</t>
  </si>
  <si>
    <t>Katerina Markov Schneider</t>
  </si>
  <si>
    <t>https://www.crunchbase.com/organization/ritual-2</t>
  </si>
  <si>
    <t xml:space="preserve"> https://angel.co/ritual-4/activity</t>
  </si>
  <si>
    <t>サプリメント</t>
  </si>
  <si>
    <t>Care/of</t>
  </si>
  <si>
    <t>https://takecareof.com/</t>
  </si>
  <si>
    <t>Candid</t>
  </si>
  <si>
    <t>https://www.candidco.com/</t>
  </si>
  <si>
    <t>Hubble</t>
  </si>
  <si>
    <t>https://www.hubblecontacts.com/</t>
  </si>
  <si>
    <t>コンタクトレンズ</t>
  </si>
  <si>
    <t>Keeps</t>
  </si>
  <si>
    <t>https://www.keeps.com/</t>
  </si>
  <si>
    <t>育毛剤</t>
  </si>
  <si>
    <t>gingerIO</t>
  </si>
  <si>
    <t>https://ginger.io/</t>
  </si>
  <si>
    <t>Figure1</t>
  </si>
  <si>
    <t>https://figure1.com/</t>
  </si>
  <si>
    <t>AI</t>
  </si>
  <si>
    <t>医療画像診断</t>
  </si>
  <si>
    <t>optum</t>
  </si>
  <si>
    <t>https://www.optum.com/</t>
  </si>
  <si>
    <t>Data Analytics</t>
  </si>
  <si>
    <t>https://www.optum.com/content/dam/optum3/optum/en/resources/PDFs/everest-group-healthcare-analytics-services-providers-2019.pdf</t>
  </si>
  <si>
    <t>Aptible</t>
  </si>
  <si>
    <t>https://www.aptible.com/</t>
  </si>
  <si>
    <t>https://www.aptible.com/comply/</t>
  </si>
  <si>
    <t>セキュリティ</t>
  </si>
  <si>
    <t>DB</t>
  </si>
  <si>
    <t>First Opinion</t>
  </si>
  <si>
    <t>https://firstopinionapp.com/</t>
  </si>
  <si>
    <t>遠隔医療相談</t>
  </si>
  <si>
    <t>Phreesia</t>
  </si>
  <si>
    <t>https://www.phreesia.com/</t>
  </si>
  <si>
    <t>病院向けSaaS</t>
  </si>
  <si>
    <t>Direct Derm</t>
  </si>
  <si>
    <t>C</t>
  </si>
  <si>
    <t>https://www.directderm.com/</t>
  </si>
  <si>
    <t>David Wong</t>
  </si>
  <si>
    <t>https://www.crunchbase.com/organization/direct-dermatology</t>
  </si>
  <si>
    <t>-</t>
  </si>
  <si>
    <t>Pager</t>
  </si>
  <si>
    <t>https://pager.com/</t>
  </si>
  <si>
    <t>訪問診療</t>
  </si>
  <si>
    <t>Fitocracy</t>
  </si>
  <si>
    <t>https://www.fitocracy.com/</t>
  </si>
  <si>
    <t>フィットネス促進コミュニティ</t>
  </si>
  <si>
    <t>Medstartr</t>
  </si>
  <si>
    <t>https://www.medstartr.com/</t>
  </si>
  <si>
    <t>医療特化クラウドファンディング</t>
  </si>
  <si>
    <t>iCouch.me</t>
  </si>
  <si>
    <t>https://icouch.me/</t>
  </si>
  <si>
    <t>ビデオチャット診療</t>
  </si>
  <si>
    <t>Curology</t>
  </si>
  <si>
    <t>https://curology.com/</t>
  </si>
  <si>
    <t>スキンケア</t>
  </si>
  <si>
    <t>Quip</t>
  </si>
  <si>
    <t>https://www.getquip.com/</t>
  </si>
  <si>
    <t>歯ブラシ</t>
  </si>
  <si>
    <t>Hims</t>
  </si>
  <si>
    <t>https://www.forhims.com/rocket5?ref=producthunt</t>
  </si>
  <si>
    <t>Roman</t>
  </si>
  <si>
    <t>https://www.getroman.com/</t>
  </si>
  <si>
    <t>Thirty Madison</t>
  </si>
  <si>
    <t>https://thirtymadison.com/</t>
  </si>
  <si>
    <t>Alto pharmacy</t>
  </si>
  <si>
    <t>https://www.alto.com/</t>
  </si>
  <si>
    <t>Blink health</t>
  </si>
  <si>
    <t>https://www.blinkhealth.com/</t>
  </si>
  <si>
    <t>医薬品配達</t>
  </si>
  <si>
    <t>ProcuredHealth</t>
  </si>
  <si>
    <t>https://procuredhealth.com/</t>
  </si>
  <si>
    <t>Cricket Health</t>
  </si>
  <si>
    <t>https://www.crickethealth.com/</t>
  </si>
  <si>
    <t>腎臓病のサポート</t>
  </si>
  <si>
    <t>Strive Health</t>
  </si>
  <si>
    <t>https://strivehealth.com/</t>
  </si>
  <si>
    <t>https://www.crunchbase.com/organization/strive-health</t>
  </si>
  <si>
    <t>Vida</t>
  </si>
  <si>
    <t>https://www.vida.com/</t>
  </si>
  <si>
    <t>慢性疾患</t>
  </si>
  <si>
    <t>精神疾患</t>
  </si>
  <si>
    <t>Lemonaid</t>
  </si>
  <si>
    <t>https://www.lemonaidhealth.com/</t>
  </si>
  <si>
    <t>Mede/Analytics</t>
  </si>
  <si>
    <t>http://medeanalytics.com/</t>
  </si>
  <si>
    <t>SaaS</t>
  </si>
  <si>
    <t>ヘルスケアサービスプロバイダー向けのデータ解析サービス？</t>
  </si>
  <si>
    <t>Weltok</t>
  </si>
  <si>
    <t>https://welltok.com/</t>
  </si>
  <si>
    <t>患者のエンゲージメント支援</t>
  </si>
  <si>
    <t>veeva</t>
  </si>
  <si>
    <t>https://www.veeva.com/jp/</t>
  </si>
  <si>
    <t>製薬企業向けマーケティング支援</t>
  </si>
  <si>
    <t>Reflectionhealth</t>
  </si>
  <si>
    <t>http://reflexionhealth.com/</t>
  </si>
  <si>
    <t>VRリハビリ</t>
  </si>
  <si>
    <t>Stride Health</t>
  </si>
  <si>
    <t>https://www.stridehealth.com/</t>
  </si>
  <si>
    <t>簡易医療保険</t>
  </si>
  <si>
    <t>Akili Interactive Labs</t>
  </si>
  <si>
    <t>https://www.akiliinteractive.com/</t>
  </si>
  <si>
    <t>ADHDやMDDのデジタル治療開発</t>
  </si>
  <si>
    <t>DGが投資  https://www.dgincubation.co.jp/portfolio/akili-interactive-labs-inc-2/</t>
  </si>
  <si>
    <t>iRhythm</t>
  </si>
  <si>
    <t>https://www.irhythmtech.com/</t>
  </si>
  <si>
    <t>Verily</t>
  </si>
  <si>
    <t>https://verily.com/</t>
  </si>
  <si>
    <t>First Derm</t>
  </si>
  <si>
    <t>D</t>
  </si>
  <si>
    <t>https://www.firstderm.com/</t>
  </si>
  <si>
    <t>Alexander Borve, Jimmy Stridh, Nick Hu</t>
  </si>
  <si>
    <t>https://www.crunchbase.com/organization/idoc24</t>
  </si>
  <si>
    <t>https://angel.co/company/firstderm</t>
  </si>
  <si>
    <t>Empower Interactive</t>
  </si>
  <si>
    <t>http://www.empower-interactive.com/</t>
  </si>
  <si>
    <t>精神疾患e-learning</t>
  </si>
  <si>
    <t>Truth On Call</t>
  </si>
  <si>
    <t>https://www.truthoncall.com/#tab2</t>
  </si>
  <si>
    <t>医師24h質問</t>
  </si>
  <si>
    <t>ClassPass</t>
  </si>
  <si>
    <t>https://classpass.com/</t>
  </si>
  <si>
    <t>月額定額制フィットネス体験</t>
  </si>
  <si>
    <t>Simple Contact</t>
  </si>
  <si>
    <t>https://www.simplecontacts.com/</t>
  </si>
  <si>
    <t>Lola</t>
  </si>
  <si>
    <t>Prose</t>
  </si>
  <si>
    <t>Uniform</t>
  </si>
  <si>
    <t>GOBY</t>
  </si>
  <si>
    <t>goop</t>
  </si>
  <si>
    <t>Blowfish</t>
  </si>
  <si>
    <t>http://www.blowfishhealth.com/</t>
  </si>
  <si>
    <t>https://www.crunchbase.com/organization/blowfish-health#section-overview</t>
  </si>
  <si>
    <t>Kaia</t>
  </si>
  <si>
    <t>https://www.kaiahealth.com/</t>
  </si>
  <si>
    <t>腰痛サポート</t>
  </si>
  <si>
    <t>Doximity</t>
  </si>
  <si>
    <t>https://www.doximity.com/</t>
  </si>
  <si>
    <t>医師のネットワークサービス</t>
  </si>
  <si>
    <t>nephosity</t>
  </si>
  <si>
    <t>https://web.nephosity.com/</t>
  </si>
  <si>
    <t>モバイルでの医療画像</t>
  </si>
  <si>
    <t>Qunomedical</t>
  </si>
  <si>
    <t>https://www.qunomedical.com/en/</t>
  </si>
  <si>
    <t>メディカルツーリズム(医師・病院と患者のマッチング)</t>
  </si>
  <si>
    <t>Patient IO</t>
  </si>
  <si>
    <t>E</t>
  </si>
  <si>
    <t>https://patientio.com/</t>
  </si>
  <si>
    <t>Morning Recover</t>
  </si>
  <si>
    <t>https://www.morelabs.com/</t>
  </si>
  <si>
    <t>健康ドリンク？</t>
  </si>
  <si>
    <t>capsule</t>
  </si>
  <si>
    <t>https://capsuletech.com/</t>
  </si>
  <si>
    <t>GoodPx</t>
  </si>
  <si>
    <t>https://www.goodrx.com/</t>
  </si>
  <si>
    <t>Counsyl</t>
  </si>
  <si>
    <t>https://myriadwomenshealth.com/</t>
  </si>
  <si>
    <t>clearcare</t>
  </si>
  <si>
    <t>https://www.clearcareonline.com/</t>
  </si>
  <si>
    <t>order groove</t>
  </si>
  <si>
    <t>http://www.ordergroove.com/solutions</t>
  </si>
  <si>
    <t>webPT</t>
  </si>
  <si>
    <t>https://www.webpt.com/</t>
  </si>
  <si>
    <t>PrivisHealth</t>
  </si>
  <si>
    <t>https://www.privishealth.com/</t>
  </si>
  <si>
    <t>Medigram</t>
  </si>
  <si>
    <t>https://www.medigram.com/index.html</t>
  </si>
  <si>
    <t>helium</t>
  </si>
  <si>
    <t>http://healium.com/</t>
  </si>
  <si>
    <t>Medikly</t>
  </si>
  <si>
    <t>http://medikly.com/</t>
  </si>
  <si>
    <t>GoBiquity</t>
  </si>
  <si>
    <t>http://www.gobiquity.com/</t>
  </si>
  <si>
    <t>小児向けの眼科領域</t>
  </si>
  <si>
    <t>managed prm</t>
  </si>
  <si>
    <t>https://www.manageupprm.com/</t>
  </si>
  <si>
    <t>mangoHealth</t>
  </si>
  <si>
    <t>https://www.mangohealth.com/</t>
  </si>
  <si>
    <t>https://www.crunchbase.com/organization/mango-health#section-overview</t>
  </si>
  <si>
    <t>Collective Health</t>
  </si>
  <si>
    <t>https://collectivehealth.com/</t>
  </si>
  <si>
    <t>PotikDok</t>
  </si>
  <si>
    <t>https://pokitdok.com/</t>
  </si>
  <si>
    <t>2017年6月13日にOrationを買収</t>
  </si>
  <si>
    <t>DocChain</t>
  </si>
  <si>
    <t>https://dokchain.com/</t>
  </si>
  <si>
    <t>Practice Fusion</t>
  </si>
  <si>
    <t>http://www.practicefusion.com/</t>
  </si>
  <si>
    <t>cloud based elastic medical record</t>
  </si>
  <si>
    <t>Drchrono</t>
  </si>
  <si>
    <t>https://www.drchrono.com/</t>
  </si>
  <si>
    <t>mobile electronic health record</t>
  </si>
  <si>
    <t>clinovo</t>
  </si>
  <si>
    <t>http://www.clinovo.com/</t>
  </si>
  <si>
    <t>Quartz</t>
  </si>
  <si>
    <t>https://www.quartzy.com/</t>
  </si>
  <si>
    <t>Lab management tool</t>
  </si>
  <si>
    <t>Grand rounds</t>
  </si>
  <si>
    <t>https://www.grandrounds.com/</t>
  </si>
  <si>
    <t>desmaHealth</t>
  </si>
  <si>
    <t>https://www.desmahealth.com/</t>
  </si>
  <si>
    <t>CoreMobile</t>
  </si>
  <si>
    <t>http://www.coremobileinc.com/</t>
  </si>
  <si>
    <t>VitalHub</t>
  </si>
  <si>
    <t>http://vitalhub.com/</t>
  </si>
  <si>
    <t>AgileMD</t>
  </si>
  <si>
    <t>https://www.agilemd.com/home</t>
  </si>
  <si>
    <t>pingMD</t>
  </si>
  <si>
    <t>https://www.pingmd.com/</t>
  </si>
  <si>
    <t xml:space="preserve">biomeme: </t>
  </si>
  <si>
    <t>http://biomeme.com/</t>
  </si>
  <si>
    <t>dna検査系</t>
  </si>
  <si>
    <t>Human API</t>
  </si>
  <si>
    <t>https://www.humanapi.co/</t>
  </si>
  <si>
    <t>Andrei Pop, Ola Wiberg</t>
  </si>
  <si>
    <t>https://www.crunchbase.com/organization/humanapi#section-overview</t>
  </si>
  <si>
    <t>dacadoo</t>
  </si>
  <si>
    <t>https://www.dacadoo.com/?lang=ja</t>
  </si>
  <si>
    <t>glooko</t>
  </si>
  <si>
    <t>https://www.glooko.com/</t>
  </si>
  <si>
    <t>careathand</t>
  </si>
  <si>
    <t>chttp://careathand.com/</t>
  </si>
  <si>
    <t>airstrip</t>
  </si>
  <si>
    <t>http://www.airstrip.com/</t>
  </si>
  <si>
    <t>bridgecrest</t>
  </si>
  <si>
    <t>https://www.bridgecrest.com/</t>
  </si>
  <si>
    <t>green light medical</t>
  </si>
  <si>
    <t>http://www.greenlightmedical.com/</t>
  </si>
  <si>
    <t>wellframe</t>
  </si>
  <si>
    <t>https://www.wellframe.com/</t>
  </si>
  <si>
    <t>cell scope</t>
  </si>
  <si>
    <t>https://www.cellscope.com/</t>
  </si>
  <si>
    <t>imosphere</t>
  </si>
  <si>
    <t>http://www.imosphere.com/</t>
  </si>
  <si>
    <t>connectTheDoc</t>
  </si>
  <si>
    <t>https://connectthedoc.com/</t>
  </si>
  <si>
    <t>medrio</t>
  </si>
  <si>
    <t>http://medrio.com/</t>
  </si>
  <si>
    <t>Clinicient</t>
  </si>
  <si>
    <t>https://www.clinicient.com/</t>
  </si>
  <si>
    <t>attainia</t>
  </si>
  <si>
    <t>http://www.attainia.com/</t>
  </si>
  <si>
    <t>zynxhealth</t>
  </si>
  <si>
    <t>http://www.zynxhealth.com/</t>
  </si>
  <si>
    <t>kno2</t>
  </si>
  <si>
    <t>https://kno2.com/</t>
  </si>
  <si>
    <t>health loop</t>
  </si>
  <si>
    <t>http://healthloop.com/</t>
  </si>
  <si>
    <t>simplePractice</t>
  </si>
  <si>
    <t>https://www.simplepractice.com/</t>
  </si>
  <si>
    <t>SimplyInsured</t>
  </si>
  <si>
    <t>https://www.simplyinsured.com/</t>
  </si>
  <si>
    <t>patientping</t>
  </si>
  <si>
    <t>http://www.patientping.com/</t>
  </si>
  <si>
    <t>benchling</t>
  </si>
  <si>
    <t>https://benchling.com/</t>
  </si>
  <si>
    <t>better doctor</t>
  </si>
  <si>
    <t>http://betterdoctor.com/</t>
  </si>
  <si>
    <t>care cloud</t>
  </si>
  <si>
    <t>http://www.carecloud.com/</t>
  </si>
  <si>
    <t>evariant</t>
  </si>
  <si>
    <t>http://www.evariant.com/</t>
  </si>
  <si>
    <t>hc1</t>
  </si>
  <si>
    <t>https://www.hc1.com/</t>
  </si>
  <si>
    <t>tigerText</t>
  </si>
  <si>
    <t>https://www.tigertext.com/</t>
  </si>
  <si>
    <t>viewics</t>
  </si>
  <si>
    <t>https://viewics.com/</t>
  </si>
  <si>
    <t>lyraHealth</t>
  </si>
  <si>
    <t>https://www.lyrahealth.com/</t>
  </si>
  <si>
    <t>BlueTalon</t>
  </si>
  <si>
    <t>http://bluetalon.com/</t>
  </si>
  <si>
    <t>MediSas</t>
  </si>
  <si>
    <t>https://www.medisas.com/</t>
  </si>
  <si>
    <t>syapse</t>
  </si>
  <si>
    <t>http://syapse.com/</t>
  </si>
  <si>
    <t>Mobitor</t>
  </si>
  <si>
    <t>http://www.mobitor.com/</t>
  </si>
  <si>
    <t>augmedix</t>
  </si>
  <si>
    <t>https://www.augmedix.com/</t>
  </si>
  <si>
    <t>ryffin</t>
  </si>
  <si>
    <t>http://riffyn.com/</t>
  </si>
  <si>
    <t>mscripts</t>
  </si>
  <si>
    <t>http://www.mscripts.com/</t>
  </si>
  <si>
    <t>castlightHealth</t>
  </si>
  <si>
    <t>http://www.castlighthealth.com/</t>
  </si>
  <si>
    <t>scientist -</t>
  </si>
  <si>
    <t>https://www.scientist.com/</t>
  </si>
  <si>
    <t>referral md</t>
  </si>
  <si>
    <t>https://getreferralmd.com/</t>
  </si>
  <si>
    <t>crowdmed</t>
  </si>
  <si>
    <t>https://www.crowdmed.com/</t>
  </si>
  <si>
    <t>solvebio</t>
  </si>
  <si>
    <t>https://www.solvebio.com/</t>
  </si>
  <si>
    <t>arterys</t>
  </si>
  <si>
    <t>https://arterys.com/</t>
  </si>
  <si>
    <t>limelightHealth</t>
  </si>
  <si>
    <t>https://www.limelighthealth.com/</t>
  </si>
  <si>
    <t>healthFinch</t>
  </si>
  <si>
    <t>http://www.healthfinch.com/</t>
  </si>
  <si>
    <t>telesofia</t>
  </si>
  <si>
    <t>http://www.telesofia.com/</t>
  </si>
  <si>
    <t>nightingaleHealth</t>
  </si>
  <si>
    <t>https://nightingalehealth.com/</t>
  </si>
  <si>
    <t>Medidata</t>
  </si>
  <si>
    <t>https://www.mdsol.com/en</t>
  </si>
  <si>
    <t>smartInDoor</t>
  </si>
  <si>
    <t>http://smartindoor.com/</t>
  </si>
  <si>
    <t>SharePractice</t>
  </si>
  <si>
    <t>http://sharepractice.com/</t>
  </si>
  <si>
    <t>HomeTrak</t>
  </si>
  <si>
    <t>http://www.hometrak.com</t>
  </si>
  <si>
    <t>Oration</t>
  </si>
  <si>
    <t>http://www.oration.com/</t>
  </si>
  <si>
    <t>Mytrus</t>
  </si>
  <si>
    <t>http://www.mytrus.com</t>
  </si>
  <si>
    <t>Medidataに買収統合された？</t>
  </si>
  <si>
    <t>CHITA</t>
  </si>
  <si>
    <t>http://www.chitasys.com/</t>
  </si>
  <si>
    <t>Intelemage LLC</t>
  </si>
  <si>
    <t>http://www.intelemage.com</t>
  </si>
  <si>
    <t>Doctor On Demand</t>
  </si>
  <si>
    <t>https://www.doctorondemand.com/</t>
  </si>
  <si>
    <t>Adam Jackson, Jay McGraw, Phil McGraw</t>
  </si>
  <si>
    <t>https://www.crunchbase.com/organization/doctor-on-demand</t>
  </si>
  <si>
    <t>HealthSopt</t>
  </si>
  <si>
    <t>closed</t>
  </si>
  <si>
    <t>Closed</t>
  </si>
  <si>
    <t>https://www.crunchbase.com/organization/healthspot#section-overview</t>
  </si>
  <si>
    <t>Klara</t>
  </si>
  <si>
    <t>https://klara.com/</t>
  </si>
  <si>
    <t>MeeDoc</t>
  </si>
  <si>
    <t>https://www.gotthardt.com/company/</t>
  </si>
  <si>
    <t>https://www.crunchbase.com/organization/meedoc</t>
  </si>
  <si>
    <t>買収された？</t>
  </si>
  <si>
    <t>Oto health</t>
  </si>
  <si>
    <t>https://www.otohealth.com/</t>
  </si>
  <si>
    <t>Ringadoc Exchange</t>
  </si>
  <si>
    <t>?</t>
  </si>
  <si>
    <t>Wink Health</t>
  </si>
  <si>
    <t>https://www.crunchbase.com/organization/wink-health#section-locked-charts</t>
  </si>
  <si>
    <t>octave</t>
  </si>
  <si>
    <t>https://www.findoctave.com/</t>
  </si>
  <si>
    <t>Health Navigator</t>
  </si>
  <si>
    <t>https://www.healthnavigator.com/</t>
  </si>
  <si>
    <t>AdventHealth</t>
  </si>
  <si>
    <t>https://www.adventhealth.com/</t>
  </si>
  <si>
    <t>非営利組織</t>
  </si>
  <si>
    <t>SteadyMD</t>
  </si>
  <si>
    <t>https://www.steadymd.com/</t>
  </si>
  <si>
    <t>MDLIVE</t>
  </si>
  <si>
    <t>https://www.mdlive.com/</t>
  </si>
  <si>
    <t>sherpaa</t>
  </si>
  <si>
    <t>https://sherpaa.com/</t>
  </si>
  <si>
    <t>Healint</t>
  </si>
  <si>
    <t>https://healint.com/</t>
  </si>
  <si>
    <t>GRYT Health</t>
  </si>
  <si>
    <t>https://grythealth.com/</t>
  </si>
  <si>
    <t>Dave Fuehrer</t>
  </si>
  <si>
    <t>Concerto HealthAI</t>
  </si>
  <si>
    <t>https://concertohealthai.com/</t>
  </si>
  <si>
    <t>PathAI</t>
  </si>
  <si>
    <t>https://www.pathai.com/</t>
  </si>
  <si>
    <t>One Drop</t>
  </si>
  <si>
    <t>https://onedrop.today/</t>
  </si>
  <si>
    <t>Apostrphe</t>
  </si>
  <si>
    <t>https://www.apostrophe.com/</t>
  </si>
  <si>
    <t>Ben Holber</t>
  </si>
  <si>
    <t>https://crunchbase.com/organization/yoderm#section-overview</t>
  </si>
  <si>
    <t>ニキビのオンライン処方プラットフォーム</t>
  </si>
  <si>
    <t>Ribon Health</t>
  </si>
  <si>
    <t>https://www.ribbonhealth.com/</t>
  </si>
  <si>
    <t>保険者向けのProviderデータ提供</t>
  </si>
  <si>
    <t>Meru Health</t>
  </si>
  <si>
    <t>https://www.meruhealth.com/</t>
  </si>
  <si>
    <t>国</t>
  </si>
  <si>
    <t>上場 or 未上場</t>
  </si>
  <si>
    <t>Crunchbase</t>
  </si>
  <si>
    <t>Youtube</t>
  </si>
  <si>
    <t>中国</t>
  </si>
  <si>
    <t>百万医療保険</t>
  </si>
  <si>
    <t>微医（ウィードクター）</t>
  </si>
  <si>
    <t>https://www.guahao.com/intro/userapp</t>
  </si>
  <si>
    <t>Alihealth</t>
  </si>
  <si>
    <t>https://www.alihealth.cn/</t>
  </si>
  <si>
    <t>平安好医生(ピンアングッドドクター)</t>
  </si>
  <si>
    <t>http://www.jk.cn/</t>
  </si>
  <si>
    <t>https://www.crunchbase.com/organization/ping-an-good-doctor</t>
  </si>
  <si>
    <t>SPAX</t>
  </si>
  <si>
    <t>https://www.onespax.com/</t>
  </si>
  <si>
    <t>Smart Fitness</t>
  </si>
  <si>
    <t>HPめちゃかっこいい</t>
  </si>
  <si>
    <t>インド</t>
  </si>
  <si>
    <t>Healthians</t>
  </si>
  <si>
    <t>https://www.healthians.com/</t>
  </si>
  <si>
    <t>医療検査予約サービス</t>
  </si>
  <si>
    <t>https://www.dgincubation.co.jp/portfolio/healthians/</t>
  </si>
  <si>
    <t>インドネシア</t>
  </si>
  <si>
    <t>Halodoc</t>
  </si>
  <si>
    <t>https://www.halodoc.com/</t>
  </si>
  <si>
    <t>ジョナサン・スダルタ</t>
  </si>
  <si>
    <t>遠隔診療</t>
  </si>
  <si>
    <t>https://www.crunchbase.com/organization/halodoc#section-overview</t>
  </si>
  <si>
    <t>https://www.youtube.com/channel/UC7yA3gzd_YZgb-MIuKM_rLQ</t>
  </si>
  <si>
    <t>https://kyodonewsprwire.jp/release/201903063929</t>
  </si>
  <si>
    <t>春雨医生</t>
  </si>
  <si>
    <t>https://www.chunyuyisheng.com/</t>
  </si>
  <si>
    <t>杏仁医生</t>
  </si>
  <si>
    <t>https://www.xingren.com/</t>
  </si>
  <si>
    <t>DocsApp</t>
  </si>
  <si>
    <t>https://www.docsapp.in/</t>
  </si>
  <si>
    <t>フィリピン</t>
  </si>
  <si>
    <t>Maria Health</t>
  </si>
  <si>
    <t>https://mariahealth.ph/</t>
  </si>
  <si>
    <t>シンガポール</t>
  </si>
  <si>
    <t>Lucence</t>
  </si>
  <si>
    <t>https://www.lucencedx.com/</t>
  </si>
  <si>
    <t>癌検診技術</t>
  </si>
  <si>
    <t>Development tppl</t>
  </si>
  <si>
    <t>Clinic Chain / Primary care</t>
  </si>
  <si>
    <t>イギリス</t>
  </si>
  <si>
    <t>Babylon Health</t>
  </si>
  <si>
    <t>https://www.babylonhealth.com/</t>
  </si>
  <si>
    <t>ドイツ</t>
  </si>
  <si>
    <t>ada</t>
  </si>
  <si>
    <t>https://ada.com/</t>
  </si>
  <si>
    <t>自動AI診断アプリ</t>
  </si>
  <si>
    <t>Claire Novorol, Daniel Nathrath, Martin Hirsch</t>
  </si>
  <si>
    <t>https://www.crunchbase.com/organization/adahealth#section-overview</t>
  </si>
  <si>
    <t>フランス</t>
  </si>
  <si>
    <t>DocoLib</t>
  </si>
  <si>
    <t>https://www.doctolib.fr/</t>
  </si>
  <si>
    <t>医師検索・予約サービス</t>
  </si>
  <si>
    <t>イスラエル</t>
  </si>
  <si>
    <t>Tyto</t>
  </si>
  <si>
    <t>https://www.tytocare.com/</t>
  </si>
  <si>
    <t>デバイス検査&amp;処方</t>
  </si>
  <si>
    <t>https://www.crunchbase.com/organization/tyto#section-overview</t>
  </si>
  <si>
    <t>スイス</t>
  </si>
  <si>
    <t>OVIVA</t>
  </si>
  <si>
    <t>https://oviva.com/uk/en/</t>
  </si>
  <si>
    <t>Company</t>
  </si>
  <si>
    <t>Valuation ($B)</t>
  </si>
  <si>
    <t>Date Joined</t>
  </si>
  <si>
    <t>Country</t>
  </si>
  <si>
    <t>Industry</t>
  </si>
  <si>
    <t>Select Investors</t>
  </si>
  <si>
    <t>Samumed</t>
  </si>
  <si>
    <t>$12</t>
  </si>
  <si>
    <t>United States</t>
  </si>
  <si>
    <t>Health</t>
  </si>
  <si>
    <t>Vickers Venture Partners, IKEA GreenTech</t>
  </si>
  <si>
    <t>Roivant Sciences</t>
  </si>
  <si>
    <t>$7</t>
  </si>
  <si>
    <t>11/13/2018</t>
  </si>
  <si>
    <t>Switzerland</t>
  </si>
  <si>
    <t>SoftBankGroup, Founders Fund</t>
  </si>
  <si>
    <t>Intarcia Therapeutics</t>
  </si>
  <si>
    <t>$5.5</t>
  </si>
  <si>
    <t>New Enterprise Associates, New Leaf Venture Partners, Charter Venture Capital</t>
  </si>
  <si>
    <t>United Imaging Healthcare</t>
  </si>
  <si>
    <t>$5</t>
  </si>
  <si>
    <t>9/14/2017</t>
  </si>
  <si>
    <t>China</t>
  </si>
  <si>
    <t>China Life Insurance, China Development Bank Capital, CITIC Securities International</t>
  </si>
  <si>
    <t>Otto Bock HealthCare</t>
  </si>
  <si>
    <t>$3.5</t>
  </si>
  <si>
    <t>6/24/2017</t>
  </si>
  <si>
    <t>Germany</t>
  </si>
  <si>
    <t>EQT Partners</t>
  </si>
  <si>
    <t>Oscar Health</t>
  </si>
  <si>
    <t>$3.2</t>
  </si>
  <si>
    <t>4/20/2015</t>
  </si>
  <si>
    <t>BoxGroup, Formation8, Khosla Ventures</t>
  </si>
  <si>
    <t>SmileDirectClub</t>
  </si>
  <si>
    <t>Clayton Dubilier &amp; Rice, Kleiner Perkins Caufield &amp; Byers, Spark Capital</t>
  </si>
  <si>
    <t>Tempus</t>
  </si>
  <si>
    <t>$3.1</t>
  </si>
  <si>
    <t>3/21/2018</t>
  </si>
  <si>
    <t>New Enterprise Associates, T. Rowe Associates, Lightbank</t>
  </si>
  <si>
    <t>Shanghai Henlius</t>
  </si>
  <si>
    <t>$2.9</t>
  </si>
  <si>
    <t>7/19/2018</t>
  </si>
  <si>
    <t>Green Tomato, Fuguo Asset Management, Jacobson Pharma</t>
  </si>
  <si>
    <t>23andMe</t>
  </si>
  <si>
    <t>$2.5</t>
  </si>
  <si>
    <t>Google Ventures, New Enterprise Associates, MPM Capital</t>
  </si>
  <si>
    <t>GRAIL</t>
  </si>
  <si>
    <t>$2.46</t>
  </si>
  <si>
    <t>Kleiner Perkins Caufield &amp; Byers, Amazon, Merck &amp; Co.</t>
  </si>
  <si>
    <t>Zocdoc</t>
  </si>
  <si>
    <t>$1.8</t>
  </si>
  <si>
    <t>8/20/2015</t>
  </si>
  <si>
    <t>Founders Fund, Khosla Ventures, Goldman Sachs</t>
  </si>
  <si>
    <t>Devoted Health</t>
  </si>
  <si>
    <t>10/16/2018</t>
  </si>
  <si>
    <t>Andreessen Horowitz, F-Prime Capital, Venrock</t>
  </si>
  <si>
    <t>CureVac</t>
  </si>
  <si>
    <t>$1.65</t>
  </si>
  <si>
    <t>dievini Hopp BioTech Holding &amp; Co., Eli Lilly &amp; Co., LBBW Venture Capital</t>
  </si>
  <si>
    <t>Gan &amp; Lee Pharmaceuticals</t>
  </si>
  <si>
    <t>$1.6</t>
  </si>
  <si>
    <t>Qiming Venture Partners, Goldman Sachs, Hillhouse Capital Management</t>
  </si>
  <si>
    <t>Oxford Nanopore Technologies</t>
  </si>
  <si>
    <t>$1.55</t>
  </si>
  <si>
    <t>7/21/2015</t>
  </si>
  <si>
    <t>United Kingdom</t>
  </si>
  <si>
    <t>Illumina, Invesco Perpetual, IP Group</t>
  </si>
  <si>
    <t>GuaHao (We Doctor)</t>
  </si>
  <si>
    <t>$1.5</t>
  </si>
  <si>
    <t>9/22/2015</t>
  </si>
  <si>
    <t>Tencent, Morningside Group</t>
  </si>
  <si>
    <t>Clover Health</t>
  </si>
  <si>
    <t>$1.2</t>
  </si>
  <si>
    <t>Google Ventures, Sequoia Capital, First Round Capital</t>
  </si>
  <si>
    <t>HeartFlow</t>
  </si>
  <si>
    <t>$1.19</t>
  </si>
  <si>
    <t>BlueCross BlueShield Venture Partners, US Venture Partners</t>
  </si>
  <si>
    <t>Doctolib</t>
  </si>
  <si>
    <t>$1.14</t>
  </si>
  <si>
    <t>3/19/2019</t>
  </si>
  <si>
    <t>France</t>
  </si>
  <si>
    <t>BPI France, Kerala Ventures, Accel</t>
  </si>
  <si>
    <t>Proteus Digital Health</t>
  </si>
  <si>
    <t>$1.1</t>
  </si>
  <si>
    <t>Novartis, Essex Woodlands, The Carlyle Group</t>
  </si>
  <si>
    <t>MindMaze</t>
  </si>
  <si>
    <t>$1</t>
  </si>
  <si>
    <t>2/17/2016</t>
  </si>
  <si>
    <t>Hinduja Group</t>
  </si>
  <si>
    <t>Ginkgo BioWorks</t>
  </si>
  <si>
    <t>12/14/2017</t>
  </si>
  <si>
    <t>Y Combinator, Data Collective, MassVentures</t>
  </si>
  <si>
    <t>Ding Xiang Yuan</t>
  </si>
  <si>
    <t>Tencent Holdings, DCM Ventures</t>
  </si>
  <si>
    <t>GoodRx</t>
  </si>
  <si>
    <t>Silver Lake Partners, SV Angel, Upfront Ventures</t>
  </si>
  <si>
    <t>Medlinker</t>
  </si>
  <si>
    <t>7/31/2018</t>
  </si>
  <si>
    <t>China Health Industry Investment Fund, China Renaissance, and Sequoia Capital China</t>
  </si>
  <si>
    <t>One Medical Group</t>
  </si>
  <si>
    <t>8/22/2018</t>
  </si>
  <si>
    <t>Benchmark, DAG Ventures, Oak Investment Partners</t>
  </si>
  <si>
    <t>LinkDoc Technology</t>
  </si>
  <si>
    <t>China Investment Corporation, New Enterprise Associates</t>
  </si>
  <si>
    <t>10X Genomics</t>
  </si>
  <si>
    <t>Fidelity Investments, Paladin Capital Group, Meritech Capital Partners</t>
  </si>
  <si>
    <t>1/29/2019</t>
  </si>
  <si>
    <t>Forerunner Ventures, Thrive Capital, Redpoint Ventures</t>
  </si>
  <si>
    <t>医療コンサル</t>
  </si>
  <si>
    <t>遠隔医療画像</t>
  </si>
  <si>
    <t>医療機関の検索・予約</t>
  </si>
  <si>
    <t>レセプト</t>
  </si>
  <si>
    <t>データ分析・解析</t>
  </si>
  <si>
    <t>人材紹介</t>
  </si>
  <si>
    <t>在宅医療・訪問介護</t>
  </si>
  <si>
    <t>地域医療連携</t>
  </si>
  <si>
    <t>救急医療</t>
  </si>
  <si>
    <t>院内支援</t>
  </si>
  <si>
    <t>MEDIVA</t>
  </si>
  <si>
    <t>https://mediva.co.jp/</t>
  </si>
  <si>
    <t>Global Health Consulting</t>
  </si>
  <si>
    <t>https://www.ghc-j.com/</t>
  </si>
  <si>
    <t>HMI</t>
  </si>
  <si>
    <t>https://www.iryoken.co.jp/hospital</t>
  </si>
  <si>
    <t>船井総研</t>
  </si>
  <si>
    <t>https://www.funaisoken.co.jp/</t>
  </si>
  <si>
    <t>https://www.funaisoken.co.jp/industry_theme/hospital</t>
  </si>
  <si>
    <t>トーカイ</t>
  </si>
  <si>
    <t>https://www.tokai-corp.com/index.html</t>
  </si>
  <si>
    <t>https://www.tokai-corp.com/hospital/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</si>
</sst>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d"/>
    <numFmt numFmtId="166" formatCode="d/m/yyyy"/>
    <numFmt numFmtId="167" formatCode="dd/mm/yyyy"/>
  </numFmts>
  <fonts count="52">
    <font>
      <sz val="10.0"/>
      <color rgb="FF000000"/>
      <name val="Arial"/>
    </font>
    <font>
      <color theme="1"/>
      <name val="Arial"/>
    </font>
    <font>
      <color rgb="FF000000"/>
      <name val="Arial"/>
    </font>
    <font>
      <u/>
      <color rgb="FF4A86E8"/>
      <name val="Arial"/>
    </font>
    <font>
      <color theme="1"/>
      <name val="Calibri"/>
    </font>
    <font>
      <u/>
      <color rgb="FF1155CC"/>
      <name val="Arial"/>
    </font>
    <font>
      <u/>
      <color rgb="FF4A86E8"/>
    </font>
    <font>
      <u/>
      <color rgb="FF000000"/>
      <name val="Arial"/>
    </font>
    <font>
      <sz val="10.0"/>
      <color rgb="FF000000"/>
      <name val="Roboto"/>
    </font>
    <font>
      <u/>
      <color theme="1"/>
      <name val="Arial"/>
    </font>
    <font>
      <u/>
      <color rgb="FF1155CC"/>
      <name val="Arial"/>
    </font>
    <font>
      <u/>
      <color rgb="FF4A86E8"/>
      <name val="Arial"/>
    </font>
    <font>
      <color rgb="FFFF0000"/>
      <name val="Arial"/>
    </font>
    <font>
      <u/>
      <color rgb="FF1155CC"/>
      <name val="Arial"/>
    </font>
    <font>
      <sz val="11.0"/>
      <color rgb="FF333333"/>
      <name val="Arial"/>
    </font>
    <font>
      <color theme="1"/>
      <name val="Helvetica Neue"/>
    </font>
    <font>
      <color rgb="FF000000"/>
      <name val="Helvetica Neue"/>
    </font>
    <font>
      <u/>
      <color rgb="FF4A86E8"/>
      <name val="Helvetica Neue"/>
    </font>
    <font>
      <color rgb="FF1155CC"/>
      <name val="Arial"/>
    </font>
    <font>
      <sz val="10.0"/>
      <color rgb="FF000000"/>
      <name val="Brandon-grotesque"/>
    </font>
    <font>
      <u/>
      <color theme="1"/>
      <name val="Arial"/>
    </font>
    <font>
      <sz val="11.0"/>
      <color rgb="FF333333"/>
      <name val="Roboto"/>
    </font>
    <font>
      <sz val="10.0"/>
      <color rgb="FF424242"/>
      <name val="Arial"/>
    </font>
    <font>
      <u/>
      <color rgb="FF4A86E8"/>
      <name val="Arial"/>
    </font>
    <font>
      <sz val="10.0"/>
      <color rgb="FF333333"/>
      <name val="游ゴシック"/>
    </font>
    <font>
      <u/>
      <color rgb="FF0000FF"/>
    </font>
    <font>
      <sz val="10.0"/>
      <color rgb="FF212529"/>
      <name val="&quot;noto sans japanese&quot;"/>
    </font>
    <font>
      <sz val="10.0"/>
      <color rgb="FF333333"/>
      <name val="Helvetica Neue"/>
    </font>
    <font>
      <sz val="10.0"/>
      <color rgb="FF3B3B3B"/>
      <name val="&quot;hiragino kaku gothic pron&quot;"/>
    </font>
    <font>
      <sz val="10.0"/>
      <color rgb="FF333333"/>
      <name val="&quot;ヒラギノ角ゴ w3 jis2004&quot;"/>
    </font>
    <font>
      <sz val="10.0"/>
      <color rgb="FF212529"/>
      <name val="Arial"/>
    </font>
    <font>
      <sz val="11.0"/>
      <color rgb="FF333333"/>
      <name val="-apple-system"/>
    </font>
    <font>
      <sz val="10.0"/>
      <color rgb="FF1A1A1A"/>
      <name val="游ゴシック"/>
    </font>
    <font>
      <sz val="10.0"/>
      <color rgb="FF000000"/>
      <name val="Yakuhanjps_noto"/>
    </font>
    <font>
      <sz val="10.0"/>
      <color rgb="FF0A0A0A"/>
      <name val="Helvetica Neue"/>
    </font>
    <font>
      <sz val="10.0"/>
      <color theme="1"/>
      <name val="Arial"/>
    </font>
    <font>
      <u/>
      <color rgb="FF4A86E8"/>
      <name val="Arial"/>
    </font>
    <font>
      <u/>
      <color rgb="FF0000FF"/>
      <name val="Arial"/>
    </font>
    <font>
      <u/>
      <color rgb="FF4A86E8"/>
      <name val="Arial"/>
    </font>
    <font>
      <u/>
      <color rgb="FF4A86E8"/>
      <name val="Arial"/>
    </font>
    <font>
      <color rgb="FF4A86E8"/>
      <name val="Arial"/>
    </font>
    <font>
      <color rgb="FF4A86E8"/>
      <name val="Calibri"/>
    </font>
    <font>
      <u/>
      <color rgb="FF0000FF"/>
    </font>
    <font>
      <u/>
      <color rgb="FF1155CC"/>
    </font>
    <font>
      <u/>
      <color rgb="FF1155CC"/>
    </font>
    <font>
      <u/>
      <color rgb="FF1155CC"/>
      <name val="Roboto"/>
    </font>
    <font>
      <color rgb="FF000000"/>
      <name val="Roboto"/>
    </font>
    <font>
      <color rgb="FF1155CC"/>
      <name val="Calibri"/>
    </font>
    <font>
      <color rgb="FF0288D1"/>
      <name val="Roboto"/>
    </font>
    <font>
      <b/>
      <sz val="11.0"/>
      <color rgb="FFFFFFFF"/>
      <name val="Arial"/>
    </font>
    <font>
      <u/>
      <sz val="11.0"/>
      <color rgb="FF1155CC"/>
      <name val="Arial"/>
    </font>
    <font>
      <u/>
      <sz val="11.0"/>
      <color rgb="FF1155CC"/>
      <name val="Arial"/>
    </font>
  </fonts>
  <fills count="6">
    <fill>
      <patternFill patternType="none"/>
    </fill>
    <fill>
      <patternFill patternType="lightGray"/>
    </fill>
    <fill>
      <patternFill patternType="solid">
        <fgColor rgb="FFFFFFFF"/>
        <bgColor rgb="FFFFFFFF"/>
      </patternFill>
    </fill>
    <fill>
      <patternFill patternType="solid">
        <fgColor rgb="FFF9F9F9"/>
        <bgColor rgb="FFF9F9F9"/>
      </patternFill>
    </fill>
    <fill>
      <patternFill patternType="solid">
        <fgColor rgb="FFF5F6FA"/>
        <bgColor rgb="FFF5F6FA"/>
      </patternFill>
    </fill>
    <fill>
      <patternFill patternType="solid">
        <fgColor rgb="FF6D9EEB"/>
        <bgColor rgb="FF6D9EEB"/>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1" numFmtId="0" xfId="0" applyAlignment="1" applyFont="1">
      <alignment horizontal="left" vertical="bottom"/>
    </xf>
    <xf borderId="0" fillId="0" fontId="1" numFmtId="0" xfId="0" applyAlignment="1" applyFont="1">
      <alignment shrinkToFit="0" vertical="bottom" wrapText="1"/>
    </xf>
    <xf borderId="0" fillId="0" fontId="2" numFmtId="0" xfId="0" applyAlignment="1" applyFont="1">
      <alignment vertical="bottom"/>
    </xf>
    <xf borderId="0" fillId="0" fontId="3" numFmtId="0" xfId="0" applyAlignment="1" applyFont="1">
      <alignment shrinkToFit="0" vertical="bottom" wrapText="0"/>
    </xf>
    <xf borderId="0" fillId="0" fontId="1" numFmtId="0" xfId="0" applyAlignment="1" applyFont="1">
      <alignment horizontal="left" readingOrder="0" vertical="bottom"/>
    </xf>
    <xf borderId="0" fillId="0" fontId="4" numFmtId="0" xfId="0" applyAlignment="1" applyFont="1">
      <alignment shrinkToFit="0" wrapText="1"/>
    </xf>
    <xf borderId="0" fillId="0" fontId="5" numFmtId="0" xfId="0" applyAlignment="1" applyFont="1">
      <alignment vertical="bottom"/>
    </xf>
    <xf borderId="0" fillId="0" fontId="4" numFmtId="0" xfId="0" applyFont="1"/>
    <xf borderId="0" fillId="0" fontId="6" numFmtId="0" xfId="0" applyAlignment="1" applyFont="1">
      <alignment shrinkToFit="0" wrapText="0"/>
    </xf>
    <xf borderId="0" fillId="0" fontId="1"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2" fontId="2" numFmtId="0" xfId="0" applyAlignment="1" applyFill="1" applyFont="1">
      <alignment horizontal="left" shrinkToFit="0" wrapText="0"/>
    </xf>
    <xf borderId="0" fillId="0" fontId="7" numFmtId="0" xfId="0" applyAlignment="1" applyFont="1">
      <alignment readingOrder="0" shrinkToFit="0" vertical="bottom" wrapText="0"/>
    </xf>
    <xf borderId="0" fillId="0" fontId="8" numFmtId="0" xfId="0" applyFont="1"/>
    <xf borderId="0" fillId="0" fontId="9" numFmtId="0" xfId="0" applyAlignment="1" applyFont="1">
      <alignment shrinkToFit="0" vertical="bottom" wrapText="0"/>
    </xf>
    <xf borderId="0" fillId="0" fontId="1" numFmtId="0" xfId="0" applyFont="1"/>
    <xf borderId="0" fillId="0" fontId="1" numFmtId="0" xfId="0" applyAlignment="1" applyFont="1">
      <alignment shrinkToFit="0" wrapText="0"/>
    </xf>
    <xf borderId="0" fillId="0" fontId="10" numFmtId="0" xfId="0" applyAlignment="1" applyFont="1">
      <alignment shrinkToFit="0" vertical="bottom" wrapText="0"/>
    </xf>
    <xf borderId="0" fillId="0" fontId="11" numFmtId="0" xfId="0" applyAlignment="1" applyFont="1">
      <alignment shrinkToFit="0" wrapText="0"/>
    </xf>
    <xf borderId="0" fillId="0" fontId="12" numFmtId="0" xfId="0" applyAlignment="1" applyFont="1">
      <alignment readingOrder="0" shrinkToFit="0" vertical="bottom" wrapText="0"/>
    </xf>
    <xf borderId="0" fillId="0" fontId="13" numFmtId="0" xfId="0" applyAlignment="1" applyFont="1">
      <alignment readingOrder="0" shrinkToFit="0" vertical="bottom" wrapText="0"/>
    </xf>
    <xf borderId="0" fillId="0" fontId="12" numFmtId="0" xfId="0" applyAlignment="1" applyFont="1">
      <alignment shrinkToFit="0" vertical="bottom" wrapText="0"/>
    </xf>
    <xf borderId="0" fillId="0" fontId="14" numFmtId="0" xfId="0" applyFont="1"/>
    <xf borderId="0" fillId="0" fontId="15" numFmtId="0" xfId="0" applyAlignment="1" applyFont="1">
      <alignment shrinkToFit="0" vertical="bottom" wrapText="0"/>
    </xf>
    <xf borderId="0" fillId="0" fontId="16" numFmtId="0" xfId="0" applyAlignment="1" applyFont="1">
      <alignment vertical="bottom"/>
    </xf>
    <xf borderId="0" fillId="0" fontId="17" numFmtId="0" xfId="0" applyAlignment="1" applyFont="1">
      <alignment shrinkToFit="0" vertical="bottom" wrapText="0"/>
    </xf>
    <xf borderId="0" fillId="0" fontId="4" numFmtId="0" xfId="0" applyAlignment="1" applyFont="1">
      <alignment shrinkToFit="0" wrapText="0"/>
    </xf>
    <xf borderId="0" fillId="0" fontId="18" numFmtId="0" xfId="0" applyAlignment="1" applyFont="1">
      <alignment vertical="bottom"/>
    </xf>
    <xf borderId="0" fillId="2" fontId="0" numFmtId="0" xfId="0" applyAlignment="1" applyFont="1">
      <alignment horizontal="left" shrinkToFit="0" wrapText="0"/>
    </xf>
    <xf borderId="0" fillId="0" fontId="2" numFmtId="49" xfId="0" applyAlignment="1" applyFont="1" applyNumberFormat="1">
      <alignment vertical="bottom"/>
    </xf>
    <xf borderId="0" fillId="2" fontId="19" numFmtId="0" xfId="0" applyAlignment="1" applyFont="1">
      <alignment shrinkToFit="0" vertical="top" wrapText="0"/>
    </xf>
    <xf borderId="0" fillId="0" fontId="1" numFmtId="0" xfId="0" applyAlignment="1" applyFont="1">
      <alignment shrinkToFit="0" vertical="top" wrapText="1"/>
    </xf>
    <xf borderId="0" fillId="0" fontId="2" numFmtId="49" xfId="0" applyFont="1" applyNumberFormat="1"/>
    <xf borderId="0" fillId="0" fontId="18" numFmtId="49" xfId="0" applyAlignment="1" applyFont="1" applyNumberFormat="1">
      <alignment vertical="bottom"/>
    </xf>
    <xf borderId="0" fillId="0" fontId="20" numFmtId="0" xfId="0" applyAlignment="1" applyFont="1">
      <alignment vertical="bottom"/>
    </xf>
    <xf borderId="0" fillId="0" fontId="1" numFmtId="49" xfId="0" applyAlignment="1" applyFont="1" applyNumberFormat="1">
      <alignment vertical="bottom"/>
    </xf>
    <xf borderId="0" fillId="2" fontId="21" numFmtId="0" xfId="0" applyFont="1"/>
    <xf borderId="0" fillId="0" fontId="4" numFmtId="49" xfId="0" applyFont="1" applyNumberFormat="1"/>
    <xf borderId="0" fillId="0" fontId="22" numFmtId="0" xfId="0" applyAlignment="1" applyFont="1">
      <alignment shrinkToFit="0" wrapText="1"/>
    </xf>
    <xf borderId="0" fillId="0" fontId="23" numFmtId="0" xfId="0" applyAlignment="1" applyFont="1">
      <alignment readingOrder="0" shrinkToFit="0" vertical="bottom" wrapText="0"/>
    </xf>
    <xf borderId="0" fillId="0" fontId="2" numFmtId="0" xfId="0" applyAlignment="1" applyFont="1">
      <alignment horizontal="left"/>
    </xf>
    <xf borderId="0" fillId="0" fontId="24" numFmtId="0" xfId="0" applyFont="1"/>
    <xf borderId="0" fillId="0" fontId="25" numFmtId="0" xfId="0" applyFont="1"/>
    <xf borderId="0" fillId="0" fontId="2" numFmtId="49" xfId="0" applyAlignment="1" applyFont="1" applyNumberFormat="1">
      <alignment horizontal="left" vertical="bottom"/>
    </xf>
    <xf borderId="0" fillId="2" fontId="0" numFmtId="49" xfId="0" applyAlignment="1" applyFont="1" applyNumberFormat="1">
      <alignment horizontal="left"/>
    </xf>
    <xf borderId="0" fillId="2" fontId="26" numFmtId="49" xfId="0" applyAlignment="1" applyFont="1" applyNumberFormat="1">
      <alignment horizontal="left"/>
    </xf>
    <xf borderId="0" fillId="0" fontId="27" numFmtId="0" xfId="0" applyFont="1"/>
    <xf borderId="0" fillId="0" fontId="1" numFmtId="0" xfId="0" applyAlignment="1" applyFont="1">
      <alignment readingOrder="0" shrinkToFit="0" vertical="bottom" wrapText="1"/>
    </xf>
    <xf borderId="0" fillId="0" fontId="0" numFmtId="49" xfId="0" applyFont="1" applyNumberFormat="1"/>
    <xf borderId="0" fillId="3" fontId="28" numFmtId="0" xfId="0" applyFill="1" applyFont="1"/>
    <xf borderId="0" fillId="0" fontId="0" numFmtId="49" xfId="0" applyAlignment="1" applyFont="1" applyNumberFormat="1">
      <alignment vertical="bottom"/>
    </xf>
    <xf borderId="0" fillId="2" fontId="29" numFmtId="0" xfId="0" applyAlignment="1" applyFont="1">
      <alignment horizontal="left"/>
    </xf>
    <xf borderId="0" fillId="2" fontId="30" numFmtId="49" xfId="0" applyAlignment="1" applyFont="1" applyNumberFormat="1">
      <alignment horizontal="left"/>
    </xf>
    <xf borderId="0" fillId="0" fontId="1" numFmtId="49" xfId="0" applyFont="1" applyNumberFormat="1"/>
    <xf borderId="0" fillId="0" fontId="21" numFmtId="0" xfId="0" applyFont="1"/>
    <xf borderId="0" fillId="0" fontId="31" numFmtId="0" xfId="0" applyAlignment="1" applyFont="1">
      <alignment horizontal="left"/>
    </xf>
    <xf borderId="0" fillId="2" fontId="32" numFmtId="0" xfId="0" applyAlignment="1" applyFont="1">
      <alignment horizontal="left"/>
    </xf>
    <xf borderId="0" fillId="2" fontId="33" numFmtId="0" xfId="0" applyAlignment="1" applyFont="1">
      <alignment horizontal="left"/>
    </xf>
    <xf borderId="0" fillId="4" fontId="34" numFmtId="0" xfId="0" applyAlignment="1" applyFill="1" applyFont="1">
      <alignment shrinkToFit="0" wrapText="0"/>
    </xf>
    <xf borderId="0" fillId="2" fontId="28" numFmtId="0" xfId="0" applyAlignment="1" applyFont="1">
      <alignment shrinkToFit="0" wrapText="0"/>
    </xf>
    <xf borderId="0" fillId="0" fontId="35" numFmtId="0" xfId="0" applyAlignment="1" applyFont="1">
      <alignment shrinkToFit="0" vertical="bottom" wrapText="0"/>
    </xf>
    <xf borderId="0" fillId="0" fontId="2" numFmtId="0" xfId="0" applyAlignment="1" applyFont="1">
      <alignment horizontal="left" vertical="bottom"/>
    </xf>
    <xf borderId="0" fillId="0" fontId="36" numFmtId="0" xfId="0" applyAlignment="1" applyFont="1">
      <alignment shrinkToFit="0" vertical="bottom" wrapText="1"/>
    </xf>
    <xf borderId="0" fillId="0" fontId="1" numFmtId="0" xfId="0" applyAlignment="1" applyFont="1">
      <alignment readingOrder="0" vertical="bottom"/>
    </xf>
    <xf borderId="0" fillId="0" fontId="2" numFmtId="49" xfId="0" applyAlignment="1" applyFont="1" applyNumberFormat="1">
      <alignment horizontal="left"/>
    </xf>
    <xf borderId="0" fillId="0" fontId="37" numFmtId="0" xfId="0" applyAlignment="1" applyFont="1">
      <alignment vertical="bottom"/>
    </xf>
    <xf borderId="0" fillId="0" fontId="1" numFmtId="0" xfId="0" applyAlignment="1" applyFont="1">
      <alignment shrinkToFit="0" vertical="top" wrapText="0"/>
    </xf>
    <xf borderId="0" fillId="0" fontId="1" numFmtId="0" xfId="0" applyAlignment="1" applyFont="1">
      <alignment vertical="top"/>
    </xf>
    <xf borderId="0" fillId="0" fontId="38" numFmtId="0" xfId="0" applyAlignment="1" applyFont="1">
      <alignment shrinkToFit="0" vertical="top" wrapText="0"/>
    </xf>
    <xf borderId="0" fillId="0" fontId="1" numFmtId="0" xfId="0" applyAlignment="1" applyFont="1">
      <alignment horizontal="left" vertical="top"/>
    </xf>
    <xf borderId="0" fillId="0" fontId="1" numFmtId="0" xfId="0" applyAlignment="1" applyFont="1">
      <alignment shrinkToFit="0" vertical="center" wrapText="0"/>
    </xf>
    <xf borderId="0" fillId="0" fontId="1" numFmtId="0" xfId="0" applyAlignment="1" applyFont="1">
      <alignment vertical="center"/>
    </xf>
    <xf borderId="0" fillId="0" fontId="39" numFmtId="0" xfId="0" applyAlignment="1" applyFont="1">
      <alignment shrinkToFit="0" vertical="center" wrapText="0"/>
    </xf>
    <xf borderId="0" fillId="0" fontId="1" numFmtId="0" xfId="0" applyAlignment="1" applyFont="1">
      <alignment horizontal="left" vertical="center"/>
    </xf>
    <xf borderId="0" fillId="0" fontId="1" numFmtId="0" xfId="0" applyAlignment="1" applyFont="1">
      <alignment shrinkToFit="0" vertical="center" wrapText="1"/>
    </xf>
    <xf borderId="0" fillId="0" fontId="4" numFmtId="0" xfId="0" applyAlignment="1" applyFont="1">
      <alignment shrinkToFit="0" vertical="center" wrapText="1"/>
    </xf>
    <xf borderId="0" fillId="0" fontId="40" numFmtId="0" xfId="0" applyAlignment="1" applyFont="1">
      <alignment shrinkToFit="0" vertical="bottom" wrapText="0"/>
    </xf>
    <xf borderId="0" fillId="0" fontId="41" numFmtId="0" xfId="0" applyAlignment="1" applyFont="1">
      <alignment shrinkToFit="0" wrapText="0"/>
    </xf>
    <xf borderId="0" fillId="0" fontId="4" numFmtId="0" xfId="0" applyAlignment="1" applyFont="1">
      <alignment readingOrder="0"/>
    </xf>
    <xf borderId="0" fillId="0" fontId="4" numFmtId="0" xfId="0" applyAlignment="1" applyFont="1">
      <alignment horizontal="center"/>
    </xf>
    <xf borderId="0" fillId="0" fontId="42" numFmtId="0" xfId="0" applyAlignment="1" applyFont="1">
      <alignment shrinkToFit="0" wrapText="0"/>
    </xf>
    <xf borderId="0" fillId="0" fontId="4" numFmtId="164" xfId="0" applyFont="1" applyNumberFormat="1"/>
    <xf borderId="0" fillId="0" fontId="43" numFmtId="0" xfId="0" applyFont="1"/>
    <xf borderId="0" fillId="0" fontId="4" numFmtId="165" xfId="0" applyFont="1" applyNumberFormat="1"/>
    <xf borderId="0" fillId="0" fontId="44" numFmtId="0" xfId="0" applyAlignment="1" applyFont="1">
      <alignment shrinkToFit="0" wrapText="0"/>
    </xf>
    <xf borderId="0" fillId="0" fontId="45" numFmtId="0" xfId="0" applyFont="1"/>
    <xf borderId="0" fillId="2" fontId="2" numFmtId="0" xfId="0" applyAlignment="1" applyFont="1">
      <alignment horizontal="left"/>
    </xf>
    <xf borderId="0" fillId="0" fontId="46" numFmtId="0" xfId="0" applyFont="1"/>
    <xf borderId="0" fillId="0" fontId="47" numFmtId="0" xfId="0" applyAlignment="1" applyFont="1">
      <alignment shrinkToFit="0" wrapText="0"/>
    </xf>
    <xf borderId="0" fillId="0" fontId="47" numFmtId="0" xfId="0" applyFont="1"/>
    <xf borderId="0" fillId="0" fontId="48" numFmtId="0" xfId="0" applyFont="1"/>
    <xf borderId="0" fillId="0" fontId="4" numFmtId="0" xfId="0" applyAlignment="1" applyFont="1">
      <alignment horizontal="left"/>
    </xf>
    <xf borderId="1" fillId="5" fontId="49" numFmtId="0" xfId="0" applyAlignment="1" applyBorder="1" applyFill="1" applyFont="1">
      <alignment vertical="bottom"/>
    </xf>
    <xf borderId="2" fillId="5" fontId="49" numFmtId="0" xfId="0" applyAlignment="1" applyBorder="1" applyFont="1">
      <alignment vertical="bottom"/>
    </xf>
    <xf borderId="1" fillId="0" fontId="50" numFmtId="0" xfId="0" applyAlignment="1" applyBorder="1" applyFont="1">
      <alignment vertical="bottom"/>
    </xf>
    <xf borderId="2" fillId="0" fontId="14" numFmtId="0" xfId="0" applyAlignment="1" applyBorder="1" applyFont="1">
      <alignment vertical="top"/>
    </xf>
    <xf borderId="2" fillId="0" fontId="14" numFmtId="166" xfId="0" applyAlignment="1" applyBorder="1" applyFont="1" applyNumberFormat="1">
      <alignment vertical="top"/>
    </xf>
    <xf borderId="3" fillId="0" fontId="51" numFmtId="0" xfId="0" applyAlignment="1" applyBorder="1" applyFont="1">
      <alignment vertical="bottom"/>
    </xf>
    <xf borderId="4" fillId="0" fontId="14" numFmtId="0" xfId="0" applyAlignment="1" applyBorder="1" applyFont="1">
      <alignment vertical="top"/>
    </xf>
    <xf borderId="4" fillId="0" fontId="14" numFmtId="166" xfId="0" applyAlignment="1" applyBorder="1" applyFont="1" applyNumberFormat="1">
      <alignment vertical="top"/>
    </xf>
    <xf borderId="4" fillId="0" fontId="14" numFmtId="167" xfId="0" applyAlignment="1" applyBorder="1" applyFont="1" applyNumberFormat="1">
      <alignment vertical="top"/>
    </xf>
    <xf borderId="0" fillId="0" fontId="1" numFmtId="0" xfId="0" applyAlignment="1" applyFont="1">
      <alignment horizontal="center" shrinkToFit="0" vertical="bottom" wrapText="0"/>
    </xf>
    <xf borderId="0" fillId="0" fontId="1" numFmtId="0" xfId="0" applyAlignment="1" applyFont="1">
      <alignment horizontal="left" shrinkToFit="0" vertical="bottom" wrapText="0"/>
    </xf>
  </cellXfs>
  <cellStyles count="1">
    <cellStyle xfId="0" name="Normal" builtinId="0"/>
  </cellStyles>
  <dxfs count="4">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FF2CC"/>
          <bgColor rgb="FFFFF2CC"/>
        </patternFill>
      </fill>
      <border/>
    </dxf>
    <dxf>
      <font/>
      <fill>
        <patternFill patternType="solid">
          <fgColor rgb="FFCCCCCC"/>
          <bgColor rgb="FFCCCCCC"/>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houjin-bangou.nta.go.jp/henkorireki-johoto.html?selHouzinNo=9290001064750" TargetMode="External"/><Relationship Id="rId194" Type="http://schemas.openxmlformats.org/officeDocument/2006/relationships/hyperlink" Target="https://www.houjin-bangou.nta.go.jp/henkorireki-johoto.html?selHouzinNo=5011001097788" TargetMode="External"/><Relationship Id="rId193" Type="http://schemas.openxmlformats.org/officeDocument/2006/relationships/hyperlink" Target="https://www.houjin-bangou.nta.go.jp/henkorireki-johoto.html?selHouzinNo=5010001151332" TargetMode="External"/><Relationship Id="rId192" Type="http://schemas.openxmlformats.org/officeDocument/2006/relationships/hyperlink" Target="https://www.houjin-bangou.nta.go.jp/henkorireki-johoto.html?selHouzinNo=8180301025753" TargetMode="External"/><Relationship Id="rId191" Type="http://schemas.openxmlformats.org/officeDocument/2006/relationships/hyperlink" Target="https://www.houjin-bangou.nta.go.jp/henkorireki-johoto.html?selHouzinNo=4010401108924" TargetMode="External"/><Relationship Id="rId187" Type="http://schemas.openxmlformats.org/officeDocument/2006/relationships/hyperlink" Target="https://welmo.co.jp/" TargetMode="External"/><Relationship Id="rId186" Type="http://schemas.openxmlformats.org/officeDocument/2006/relationships/hyperlink" Target="https://www.houjin-bangou.nta.go.jp/henkorireki-johoto.html?selHouzinNo=1010001156780" TargetMode="External"/><Relationship Id="rId185" Type="http://schemas.openxmlformats.org/officeDocument/2006/relationships/hyperlink" Target="https://genomedia.jp/" TargetMode="External"/><Relationship Id="rId184" Type="http://schemas.openxmlformats.org/officeDocument/2006/relationships/hyperlink" Target="https://www.houjin-bangou.nta.go.jp/henkorireki-johoto.html?selHouzinNo=4010401106424" TargetMode="External"/><Relationship Id="rId189" Type="http://schemas.openxmlformats.org/officeDocument/2006/relationships/hyperlink" Target="https://www.houjin-bangou.nta.go.jp/henkorireki-johoto.html?selHouzinNo=8011101068199" TargetMode="External"/><Relationship Id="rId188" Type="http://schemas.openxmlformats.org/officeDocument/2006/relationships/hyperlink" Target="https://www.houjin-bangou.nta.go.jp/henkorireki-johoto.html?selHouzinNo=8290001062747" TargetMode="External"/><Relationship Id="rId183" Type="http://schemas.openxmlformats.org/officeDocument/2006/relationships/hyperlink" Target="https://www.houjin-bangou.nta.go.jp/henkorireki-johoto.html?selHouzinNo=1010001157647" TargetMode="External"/><Relationship Id="rId182" Type="http://schemas.openxmlformats.org/officeDocument/2006/relationships/hyperlink" Target="https://www.houjin-bangou.nta.go.jp/henkorireki-johoto.html?selHouzinNo=9290001064395" TargetMode="External"/><Relationship Id="rId181" Type="http://schemas.openxmlformats.org/officeDocument/2006/relationships/hyperlink" Target="http://dentalight.co.jp/" TargetMode="External"/><Relationship Id="rId180" Type="http://schemas.openxmlformats.org/officeDocument/2006/relationships/hyperlink" Target="https://www.houjin-bangou.nta.go.jp/henkorireki-johoto.html?selHouzinNo=1011101068461" TargetMode="External"/><Relationship Id="rId176" Type="http://schemas.openxmlformats.org/officeDocument/2006/relationships/hyperlink" Target="https://www.houjin-bangou.nta.go.jp/henkorireki-johoto.html?selHouzinNo=7010005017643" TargetMode="External"/><Relationship Id="rId297" Type="http://schemas.openxmlformats.org/officeDocument/2006/relationships/hyperlink" Target="https://www.highz-inc.jp/" TargetMode="External"/><Relationship Id="rId175" Type="http://schemas.openxmlformats.org/officeDocument/2006/relationships/hyperlink" Target="https://www.houjin-bangou.nta.go.jp/henkorireki-johoto.html?selHouzinNo=3011101068278" TargetMode="External"/><Relationship Id="rId296" Type="http://schemas.openxmlformats.org/officeDocument/2006/relationships/hyperlink" Target="https://www.houjin-bangou.nta.go.jp/henkorireki-johoto.html?selHouzinNo=7011001105508" TargetMode="External"/><Relationship Id="rId174" Type="http://schemas.openxmlformats.org/officeDocument/2006/relationships/hyperlink" Target="https://www.houjin-bangou.nta.go.jp/henkorireki-johoto.html?selHouzinNo=2010901030365" TargetMode="External"/><Relationship Id="rId295" Type="http://schemas.openxmlformats.org/officeDocument/2006/relationships/hyperlink" Target="https://www.houjin-bangou.nta.go.jp/kensaku-kekka.html" TargetMode="External"/><Relationship Id="rId173" Type="http://schemas.openxmlformats.org/officeDocument/2006/relationships/hyperlink" Target="https://pharumo.jp/" TargetMode="External"/><Relationship Id="rId294" Type="http://schemas.openxmlformats.org/officeDocument/2006/relationships/hyperlink" Target="http://healthcare-markets.jp/" TargetMode="External"/><Relationship Id="rId179" Type="http://schemas.openxmlformats.org/officeDocument/2006/relationships/hyperlink" Target="https://about.minacolor.com/" TargetMode="External"/><Relationship Id="rId178" Type="http://schemas.openxmlformats.org/officeDocument/2006/relationships/hyperlink" Target="https://www.houjin-bangou.nta.go.jp/henkorireki-johoto.html?selHouzinNo=8021001047285" TargetMode="External"/><Relationship Id="rId299" Type="http://schemas.openxmlformats.org/officeDocument/2006/relationships/hyperlink" Target="https://lean-body.co.jp/" TargetMode="External"/><Relationship Id="rId177" Type="http://schemas.openxmlformats.org/officeDocument/2006/relationships/hyperlink" Target="https://www.houjin-bangou.nta.go.jp/henkorireki-johoto.html?selHouzinNo=1011501017654" TargetMode="External"/><Relationship Id="rId298" Type="http://schemas.openxmlformats.org/officeDocument/2006/relationships/hyperlink" Target="https://www.houjin-bangou.nta.go.jp/henkorireki-johoto.html?selHouzinNo=7011101071212" TargetMode="External"/><Relationship Id="rId198" Type="http://schemas.openxmlformats.org/officeDocument/2006/relationships/hyperlink" Target="https://corporate.m3.com/ir/release/2019/pdf/20190705_01.pdf" TargetMode="External"/><Relationship Id="rId197" Type="http://schemas.openxmlformats.org/officeDocument/2006/relationships/hyperlink" Target="https://www.houjin-bangou.nta.go.jp/henkorireki-johoto.html?selHouzinNo=7120901032172" TargetMode="External"/><Relationship Id="rId196" Type="http://schemas.openxmlformats.org/officeDocument/2006/relationships/hyperlink" Target="https://www.houjin-bangou.nta.go.jp/henkorireki-johoto.html?selHouzinNo=7140001090053" TargetMode="External"/><Relationship Id="rId195" Type="http://schemas.openxmlformats.org/officeDocument/2006/relationships/hyperlink" Target="https://www.houjin-bangou.nta.go.jp/henkorireki-johoto.html?selHouzinNo=2011001097015" TargetMode="External"/><Relationship Id="rId199" Type="http://schemas.openxmlformats.org/officeDocument/2006/relationships/hyperlink" Target="https://www.houjin-bangou.nta.go.jp/henkorireki-johoto.html?selHouzinNo=7011001098017" TargetMode="External"/><Relationship Id="rId150" Type="http://schemas.openxmlformats.org/officeDocument/2006/relationships/hyperlink" Target="https://www.houjin-bangou.nta.go.jp/henkorireki-johoto.html?selHouzinNo=2010401094225" TargetMode="External"/><Relationship Id="rId271" Type="http://schemas.openxmlformats.org/officeDocument/2006/relationships/hyperlink" Target="https://www.houjin-bangou.nta.go.jp/henkorireki-johoto.html?selHouzinNo=4011001105758" TargetMode="External"/><Relationship Id="rId392" Type="http://schemas.openxmlformats.org/officeDocument/2006/relationships/hyperlink" Target="https://www.houjin-bangou.nta.go.jp/henkorireki-johoto.html?selHouzinNo=9040001098988" TargetMode="External"/><Relationship Id="rId270" Type="http://schemas.openxmlformats.org/officeDocument/2006/relationships/hyperlink" Target="https://famione.com/" TargetMode="External"/><Relationship Id="rId391" Type="http://schemas.openxmlformats.org/officeDocument/2006/relationships/hyperlink" Target="https://www.varinos.com/" TargetMode="External"/><Relationship Id="rId390" Type="http://schemas.openxmlformats.org/officeDocument/2006/relationships/hyperlink" Target="https://www.houjin-bangou.nta.go.jp/henkorireki-johoto.html?selHouzinNo=4010001180836" TargetMode="External"/><Relationship Id="rId1" Type="http://schemas.openxmlformats.org/officeDocument/2006/relationships/comments" Target="../comments1.xml"/><Relationship Id="rId2" Type="http://schemas.openxmlformats.org/officeDocument/2006/relationships/hyperlink" Target="https://www.sociohealth.co.jp/" TargetMode="External"/><Relationship Id="rId3" Type="http://schemas.openxmlformats.org/officeDocument/2006/relationships/hyperlink" Target="https://www.houjin-bangou.nta.go.jp/henkorireki-johoto.html?selHouzinNo=7010001057148" TargetMode="External"/><Relationship Id="rId149" Type="http://schemas.openxmlformats.org/officeDocument/2006/relationships/hyperlink" Target="https://www.houjin-bangou.nta.go.jp/henkorireki-johoto.html?selHouzinNo=8010401094698" TargetMode="External"/><Relationship Id="rId4" Type="http://schemas.openxmlformats.org/officeDocument/2006/relationships/hyperlink" Target="https://www.mm-corp.co.jp/index.html" TargetMode="External"/><Relationship Id="rId148" Type="http://schemas.openxmlformats.org/officeDocument/2006/relationships/hyperlink" Target="https://www.houjin-bangou.nta.go.jp/henkorireki-johoto.html?selHouzinNo=5011101038270" TargetMode="External"/><Relationship Id="rId269" Type="http://schemas.openxmlformats.org/officeDocument/2006/relationships/hyperlink" Target="https://www.houjin-bangou.nta.go.jp/henkorireki-johoto.html?selHouzinNo=4010401121407" TargetMode="External"/><Relationship Id="rId9" Type="http://schemas.openxmlformats.org/officeDocument/2006/relationships/hyperlink" Target="https://www.houjin-bangou.nta.go.jp/henkorireki-johoto.html?selHouzinNo=8010001061768" TargetMode="External"/><Relationship Id="rId143" Type="http://schemas.openxmlformats.org/officeDocument/2006/relationships/hyperlink" Target="https://www.c2inc.co.jp/co.php" TargetMode="External"/><Relationship Id="rId264" Type="http://schemas.openxmlformats.org/officeDocument/2006/relationships/hyperlink" Target="https://www.houjin-bangou.nta.go.jp/henkorireki-johoto.html?selHouzinNo=9010001172688" TargetMode="External"/><Relationship Id="rId385" Type="http://schemas.openxmlformats.org/officeDocument/2006/relationships/hyperlink" Target="https://ci-inc.co.jp/" TargetMode="External"/><Relationship Id="rId142" Type="http://schemas.openxmlformats.org/officeDocument/2006/relationships/hyperlink" Target="https://www.houjin-bangou.nta.go.jp/henkorireki-johoto.html?selHouzinNo=7010401079733" TargetMode="External"/><Relationship Id="rId263" Type="http://schemas.openxmlformats.org/officeDocument/2006/relationships/hyperlink" Target="https://encourage-s.jp/service/" TargetMode="External"/><Relationship Id="rId384" Type="http://schemas.openxmlformats.org/officeDocument/2006/relationships/hyperlink" Target="https://www.houjin-bangou.nta.go.jp/henkorireki-johoto.html?selHouzinNo=6180001127802" TargetMode="External"/><Relationship Id="rId141" Type="http://schemas.openxmlformats.org/officeDocument/2006/relationships/hyperlink" Target="https://www.houjin-bangou.nta.go.jp/henkorireki-johoto.html?selHouzinNo=3010001128547" TargetMode="External"/><Relationship Id="rId262" Type="http://schemas.openxmlformats.org/officeDocument/2006/relationships/hyperlink" Target="https://www.houjin-bangou.nta.go.jp/henkorireki-johoto.html?selHouzinNo=5011001136208" TargetMode="External"/><Relationship Id="rId383" Type="http://schemas.openxmlformats.org/officeDocument/2006/relationships/hyperlink" Target="https://kysmo.tech/" TargetMode="External"/><Relationship Id="rId140" Type="http://schemas.openxmlformats.org/officeDocument/2006/relationships/hyperlink" Target="https://www.integrity-healthcare.co.jp/" TargetMode="External"/><Relationship Id="rId261" Type="http://schemas.openxmlformats.org/officeDocument/2006/relationships/hyperlink" Target="https://reme-nomal.com/%E9%81%8B%E5%96%B6%E4%BC%9A%E7%A4%BE/" TargetMode="External"/><Relationship Id="rId382" Type="http://schemas.openxmlformats.org/officeDocument/2006/relationships/hyperlink" Target="https://www.houjin-bangou.nta.go.jp/henkorireki-johoto.html?selHouzinNo=1010401133396" TargetMode="External"/><Relationship Id="rId5" Type="http://schemas.openxmlformats.org/officeDocument/2006/relationships/hyperlink" Target="https://www.houjin-bangou.nta.go.jp/henkorireki-johoto.html?selHouzinNo=2010001005697" TargetMode="External"/><Relationship Id="rId147" Type="http://schemas.openxmlformats.org/officeDocument/2006/relationships/hyperlink" Target="https://www.houjin-bangou.nta.go.jp/henkorireki-johoto.html?selHouzinNo=1010401091207" TargetMode="External"/><Relationship Id="rId268" Type="http://schemas.openxmlformats.org/officeDocument/2006/relationships/hyperlink" Target="https://www.f-treatment.co.jp/" TargetMode="External"/><Relationship Id="rId389" Type="http://schemas.openxmlformats.org/officeDocument/2006/relationships/hyperlink" Target="http://www.splinkns.com/" TargetMode="External"/><Relationship Id="rId6" Type="http://schemas.openxmlformats.org/officeDocument/2006/relationships/hyperlink" Target="https://www.astemf.jp/" TargetMode="External"/><Relationship Id="rId146" Type="http://schemas.openxmlformats.org/officeDocument/2006/relationships/hyperlink" Target="https://www.houjin-bangou.nta.go.jp/henkorireki-johoto.html?selHouzinNo=6011001066651" TargetMode="External"/><Relationship Id="rId267" Type="http://schemas.openxmlformats.org/officeDocument/2006/relationships/hyperlink" Target="https://www.houjin-bangou.nta.go.jp/henkorireki-johoto.html?selHouzinNo=7010001165248" TargetMode="External"/><Relationship Id="rId388" Type="http://schemas.openxmlformats.org/officeDocument/2006/relationships/hyperlink" Target="https://www.houjin-bangou.nta.go.jp/henkorireki-johoto.html?selHouzinNo=4010401133534" TargetMode="External"/><Relationship Id="rId7" Type="http://schemas.openxmlformats.org/officeDocument/2006/relationships/hyperlink" Target="https://www.houjin-bangou.nta.go.jp/henkorireki-johoto.html?selHouzinNo=4290001002582" TargetMode="External"/><Relationship Id="rId145" Type="http://schemas.openxmlformats.org/officeDocument/2006/relationships/hyperlink" Target="https://sion-group.com/" TargetMode="External"/><Relationship Id="rId266" Type="http://schemas.openxmlformats.org/officeDocument/2006/relationships/hyperlink" Target="https://illuminate-pjt.com/line.html" TargetMode="External"/><Relationship Id="rId387" Type="http://schemas.openxmlformats.org/officeDocument/2006/relationships/hyperlink" Target="https://txpmedical.jp/" TargetMode="External"/><Relationship Id="rId8" Type="http://schemas.openxmlformats.org/officeDocument/2006/relationships/hyperlink" Target="https://www.ultmarc.co.jp/" TargetMode="External"/><Relationship Id="rId144" Type="http://schemas.openxmlformats.org/officeDocument/2006/relationships/hyperlink" Target="https://www.houjin-bangou.nta.go.jp/henkorireki-johoto.html?selHouzinNo=2010001130132" TargetMode="External"/><Relationship Id="rId265" Type="http://schemas.openxmlformats.org/officeDocument/2006/relationships/hyperlink" Target="https://utw.co.jp/index.html" TargetMode="External"/><Relationship Id="rId386" Type="http://schemas.openxmlformats.org/officeDocument/2006/relationships/hyperlink" Target="https://www.houjin-bangou.nta.go.jp/henkorireki-johoto.html?selHouzinNo=6010001184901" TargetMode="External"/><Relationship Id="rId260" Type="http://schemas.openxmlformats.org/officeDocument/2006/relationships/hyperlink" Target="https://www.houjin-bangou.nta.go.jp/henkorireki-johoto.html?selHouzinNo=3040001093012" TargetMode="External"/><Relationship Id="rId381" Type="http://schemas.openxmlformats.org/officeDocument/2006/relationships/hyperlink" Target="https://www.houjin-bangou.nta.go.jp/henkorireki-johoto.html?selHouzinNo=7010701034132" TargetMode="External"/><Relationship Id="rId380" Type="http://schemas.openxmlformats.org/officeDocument/2006/relationships/hyperlink" Target="https://www.houjin-bangou.nta.go.jp/henkorireki-johoto.html?selHouzinNo=5030001122133" TargetMode="External"/><Relationship Id="rId139" Type="http://schemas.openxmlformats.org/officeDocument/2006/relationships/hyperlink" Target="https://www.houjin-bangou.nta.go.jp/henkorireki-johoto.html?selHouzinNo=4010401082351" TargetMode="External"/><Relationship Id="rId138" Type="http://schemas.openxmlformats.org/officeDocument/2006/relationships/hyperlink" Target="https://www.houjin-bangou.nta.go.jp/henkorireki-johoto.html?selHouzinNo=5180001070417" TargetMode="External"/><Relationship Id="rId259" Type="http://schemas.openxmlformats.org/officeDocument/2006/relationships/hyperlink" Target="https://www.houjin-bangou.nta.go.jp/henkorireki-johoto.html?selHouzinNo=6010401119795" TargetMode="External"/><Relationship Id="rId137" Type="http://schemas.openxmlformats.org/officeDocument/2006/relationships/hyperlink" Target="https://hc-sys.com/" TargetMode="External"/><Relationship Id="rId258" Type="http://schemas.openxmlformats.org/officeDocument/2006/relationships/hyperlink" Target="https://www.houjin-bangou.nta.go.jp/henkorireki-johoto.html?selHouzinNo=8011101073298" TargetMode="External"/><Relationship Id="rId379" Type="http://schemas.openxmlformats.org/officeDocument/2006/relationships/hyperlink" Target="https://www.ai-ms.com/" TargetMode="External"/><Relationship Id="rId132" Type="http://schemas.openxmlformats.org/officeDocument/2006/relationships/hyperlink" Target="https://www.houjin-bangou.nta.go.jp/henkorireki-johoto.html?selHouzinNo=5010701026354" TargetMode="External"/><Relationship Id="rId253" Type="http://schemas.openxmlformats.org/officeDocument/2006/relationships/hyperlink" Target="https://www.houjin-bangou.nta.go.jp/henkorireki-johoto.html?selHouzinNo=6011501021222" TargetMode="External"/><Relationship Id="rId374" Type="http://schemas.openxmlformats.org/officeDocument/2006/relationships/hyperlink" Target="https://www.houjin-bangou.nta.go.jp/henkorireki-johoto.html?selHouzinNo=5011003010897" TargetMode="External"/><Relationship Id="rId495" Type="http://schemas.openxmlformats.org/officeDocument/2006/relationships/hyperlink" Target="https://minin.jp/" TargetMode="External"/><Relationship Id="rId131" Type="http://schemas.openxmlformats.org/officeDocument/2006/relationships/hyperlink" Target="http://www.health-sensing.co.jp/" TargetMode="External"/><Relationship Id="rId252" Type="http://schemas.openxmlformats.org/officeDocument/2006/relationships/hyperlink" Target="https://www.houjin-bangou.nta.go.jp/henkorireki-johoto.html?selHouzinNo=9010001158489" TargetMode="External"/><Relationship Id="rId373" Type="http://schemas.openxmlformats.org/officeDocument/2006/relationships/hyperlink" Target="https://tellusyoucare.com/home-2" TargetMode="External"/><Relationship Id="rId494" Type="http://schemas.openxmlformats.org/officeDocument/2006/relationships/hyperlink" Target="https://www.houjin-bangou.nta.go.jp/henkorireki-johoto.html?selHouzinNo=3010401151454" TargetMode="External"/><Relationship Id="rId130" Type="http://schemas.openxmlformats.org/officeDocument/2006/relationships/hyperlink" Target="https://www.houjin-bangou.nta.go.jp/henkorireki-johoto.html?selHouzinNo=9011001073018" TargetMode="External"/><Relationship Id="rId251" Type="http://schemas.openxmlformats.org/officeDocument/2006/relationships/hyperlink" Target="https://ys-j.co.jp/" TargetMode="External"/><Relationship Id="rId372" Type="http://schemas.openxmlformats.org/officeDocument/2006/relationships/hyperlink" Target="https://www.houjin-bangou.nta.go.jp/henkorireki-johoto.html?selHouzinNo=6010001182343" TargetMode="External"/><Relationship Id="rId493" Type="http://schemas.openxmlformats.org/officeDocument/2006/relationships/hyperlink" Target="https://ninpath.com/" TargetMode="External"/><Relationship Id="rId250" Type="http://schemas.openxmlformats.org/officeDocument/2006/relationships/hyperlink" Target="https://www.houjin-bangou.nta.go.jp/henkorireki-johoto.html?selHouzinNo=7180001115491" TargetMode="External"/><Relationship Id="rId371" Type="http://schemas.openxmlformats.org/officeDocument/2006/relationships/hyperlink" Target="https://www.cd-inc.co.jp/" TargetMode="External"/><Relationship Id="rId492" Type="http://schemas.openxmlformats.org/officeDocument/2006/relationships/hyperlink" Target="https://www.houjin-bangou.nta.go.jp/henkorireki-johoto.html?selHouzinNo=4010701038383" TargetMode="External"/><Relationship Id="rId136" Type="http://schemas.openxmlformats.org/officeDocument/2006/relationships/hyperlink" Target="https://www.houjin-bangou.nta.go.jp/henkorireki-johoto.html?selHouzinNo=1011101054486" TargetMode="External"/><Relationship Id="rId257" Type="http://schemas.openxmlformats.org/officeDocument/2006/relationships/hyperlink" Target="https://www.houjin-bangou.nta.go.jp/henkorireki-johoto.html?selHouzinNo=9140001097088" TargetMode="External"/><Relationship Id="rId378" Type="http://schemas.openxmlformats.org/officeDocument/2006/relationships/hyperlink" Target="https://www.houjin-bangou.nta.go.jp/henkorireki-johoto.html?selHouzinNo=1140001107738" TargetMode="External"/><Relationship Id="rId499" Type="http://schemas.openxmlformats.org/officeDocument/2006/relationships/hyperlink" Target="https://metic.jp/jp/medring/" TargetMode="External"/><Relationship Id="rId135" Type="http://schemas.openxmlformats.org/officeDocument/2006/relationships/hyperlink" Target="https://www.houjin-bangou.nta.go.jp/henkorireki-johoto.html?selHouzinNo=3290001031475" TargetMode="External"/><Relationship Id="rId256" Type="http://schemas.openxmlformats.org/officeDocument/2006/relationships/hyperlink" Target="https://www.houjin-bangou.nta.go.jp/henkorireki-johoto.html?selHouzinNo=9010901035655" TargetMode="External"/><Relationship Id="rId377" Type="http://schemas.openxmlformats.org/officeDocument/2006/relationships/hyperlink" Target="https://www.kuraseru.co.jp/" TargetMode="External"/><Relationship Id="rId498" Type="http://schemas.openxmlformats.org/officeDocument/2006/relationships/hyperlink" Target="https://www.houjin-bangou.nta.go.jp/henkorireki-johoto.html?selHouzinNo=4040001102829" TargetMode="External"/><Relationship Id="rId134" Type="http://schemas.openxmlformats.org/officeDocument/2006/relationships/hyperlink" Target="https://www.three-sides.co.jp/company" TargetMode="External"/><Relationship Id="rId255" Type="http://schemas.openxmlformats.org/officeDocument/2006/relationships/hyperlink" Target="https://www.houjin-bangou.nta.go.jp/henkorireki-johoto.html?selHouzinNo=7010401119794" TargetMode="External"/><Relationship Id="rId376" Type="http://schemas.openxmlformats.org/officeDocument/2006/relationships/hyperlink" Target="https://www.houjin-bangou.nta.go.jp/henkorireki-johoto.html?selHouzinNo=9011101083206" TargetMode="External"/><Relationship Id="rId497" Type="http://schemas.openxmlformats.org/officeDocument/2006/relationships/hyperlink" Target="https://doctormate.co.jp/" TargetMode="External"/><Relationship Id="rId133" Type="http://schemas.openxmlformats.org/officeDocument/2006/relationships/hyperlink" Target="https://www.houjin-bangou.nta.go.jp/henkorireki-johoto.html?selHouzinNo=4011001062719" TargetMode="External"/><Relationship Id="rId254" Type="http://schemas.openxmlformats.org/officeDocument/2006/relationships/hyperlink" Target="https://www.houjin-bangou.nta.go.jp/henkorireki-johoto.html?selHouzinNo=7390001014012" TargetMode="External"/><Relationship Id="rId375" Type="http://schemas.openxmlformats.org/officeDocument/2006/relationships/hyperlink" Target="https://caitech.co.jp/" TargetMode="External"/><Relationship Id="rId496" Type="http://schemas.openxmlformats.org/officeDocument/2006/relationships/hyperlink" Target="https://www.houjin-bangou.nta.go.jp/henkorireki-johoto.html?selHouzinNo=9010901042115" TargetMode="External"/><Relationship Id="rId172" Type="http://schemas.openxmlformats.org/officeDocument/2006/relationships/hyperlink" Target="https://www.houjin-bangou.nta.go.jp/henkorireki-johoto.html?selHouzinNo=8013301033098" TargetMode="External"/><Relationship Id="rId293" Type="http://schemas.openxmlformats.org/officeDocument/2006/relationships/hyperlink" Target="https://www.houjin-bangou.nta.go.jp/henkorireki-johoto.html?selHouzinNo=7010401121651" TargetMode="External"/><Relationship Id="rId171" Type="http://schemas.openxmlformats.org/officeDocument/2006/relationships/hyperlink" Target="https://www.houjin-bangou.nta.go.jp/henkorireki-johoto.html?selHouzinNo=2011705001180" TargetMode="External"/><Relationship Id="rId292" Type="http://schemas.openxmlformats.org/officeDocument/2006/relationships/hyperlink" Target="http://ad-medi.com/" TargetMode="External"/><Relationship Id="rId170" Type="http://schemas.openxmlformats.org/officeDocument/2006/relationships/hyperlink" Target="https://www.houjin-bangou.nta.go.jp/henkorireki-johoto.html?selHouzinNo=1010401101634" TargetMode="External"/><Relationship Id="rId291" Type="http://schemas.openxmlformats.org/officeDocument/2006/relationships/hyperlink" Target="https://www.houjin-bangou.nta.go.jp/henkorireki-johoto.html?selHouzinNo=9011001114721" TargetMode="External"/><Relationship Id="rId290" Type="http://schemas.openxmlformats.org/officeDocument/2006/relationships/hyperlink" Target="http://lime-fit.com/" TargetMode="External"/><Relationship Id="rId165" Type="http://schemas.openxmlformats.org/officeDocument/2006/relationships/hyperlink" Target="https://www.houjin-bangou.nta.go.jp/henkorireki-johoto.html?selHouzinNo=8240001043116" TargetMode="External"/><Relationship Id="rId286" Type="http://schemas.openxmlformats.org/officeDocument/2006/relationships/hyperlink" Target="https://www.houjin-bangou.nta.go.jp/henkorireki-johoto.html?selHouzinNo=3010001171984" TargetMode="External"/><Relationship Id="rId164" Type="http://schemas.openxmlformats.org/officeDocument/2006/relationships/hyperlink" Target="https://www.houjin-bangou.nta.go.jp/henkorireki-johoto.html?selHouzinNo=1120001171257" TargetMode="External"/><Relationship Id="rId285" Type="http://schemas.openxmlformats.org/officeDocument/2006/relationships/hyperlink" Target="https://www.firstcall.md/Home/About" TargetMode="External"/><Relationship Id="rId163" Type="http://schemas.openxmlformats.org/officeDocument/2006/relationships/hyperlink" Target="https://www.houjin-bangou.nta.go.jp/henkorireki-johoto.html?selHouzinNo=2011301018406" TargetMode="External"/><Relationship Id="rId284" Type="http://schemas.openxmlformats.org/officeDocument/2006/relationships/hyperlink" Target="https://www.houjin-bangou.nta.go.jp/henkorireki-johoto.html?selHouzinNo=5011101073020" TargetMode="External"/><Relationship Id="rId162" Type="http://schemas.openxmlformats.org/officeDocument/2006/relationships/hyperlink" Target="https://www.houjin-bangou.nta.go.jp/henkorireki-johoto.html?selHouzinNo=2140001034246" TargetMode="External"/><Relationship Id="rId283" Type="http://schemas.openxmlformats.org/officeDocument/2006/relationships/hyperlink" Target="https://www.houjin-bangou.nta.go.jp/henkorireki-johoto.html?selHouzinNo=6010401118228" TargetMode="External"/><Relationship Id="rId169" Type="http://schemas.openxmlformats.org/officeDocument/2006/relationships/hyperlink" Target="https://www.houjin-bangou.nta.go.jp/henkorireki-johoto.html?selHouzinNo=8010401099235" TargetMode="External"/><Relationship Id="rId168" Type="http://schemas.openxmlformats.org/officeDocument/2006/relationships/hyperlink" Target="https://www.houjin-bangou.nta.go.jp/henkorireki-johoto.html?selHouzinNo=1010001149132" TargetMode="External"/><Relationship Id="rId289" Type="http://schemas.openxmlformats.org/officeDocument/2006/relationships/hyperlink" Target="https://www.houjin-bangou.nta.go.jp/henkorireki-johoto.html?selHouzinNo=8010001169801" TargetMode="External"/><Relationship Id="rId167" Type="http://schemas.openxmlformats.org/officeDocument/2006/relationships/hyperlink" Target="https://www.houjin-bangou.nta.go.jp/henkorireki-johoto.html?selHouzinNo=9011003004706" TargetMode="External"/><Relationship Id="rId288" Type="http://schemas.openxmlformats.org/officeDocument/2006/relationships/hyperlink" Target="https://bluecross-med.com/" TargetMode="External"/><Relationship Id="rId166" Type="http://schemas.openxmlformats.org/officeDocument/2006/relationships/hyperlink" Target="https://www.houjin-bangou.nta.go.jp/henkorireki-johoto.html?selHouzinNo=4010401103256" TargetMode="External"/><Relationship Id="rId287" Type="http://schemas.openxmlformats.org/officeDocument/2006/relationships/hyperlink" Target="https://www.houjin-bangou.nta.go.jp/henkorireki-johoto.html?selHouzinNo=7010401120959" TargetMode="External"/><Relationship Id="rId161" Type="http://schemas.openxmlformats.org/officeDocument/2006/relationships/hyperlink" Target="https://www.houjin-bangou.nta.go.jp/henkorireki-johoto.html?selHouzinNo=5011001097367" TargetMode="External"/><Relationship Id="rId282" Type="http://schemas.openxmlformats.org/officeDocument/2006/relationships/hyperlink" Target="https://www.houjin-bangou.nta.go.jp/henkorireki-johoto.html?selHouzinNo=4010401128187" TargetMode="External"/><Relationship Id="rId160" Type="http://schemas.openxmlformats.org/officeDocument/2006/relationships/hyperlink" Target="https://www.houjin-bangou.nta.go.jp/henkorireki-johoto.html?selHouzinNo=8011001069074" TargetMode="External"/><Relationship Id="rId281" Type="http://schemas.openxmlformats.org/officeDocument/2006/relationships/hyperlink" Target="https://corp.sirutasu.com/" TargetMode="External"/><Relationship Id="rId280" Type="http://schemas.openxmlformats.org/officeDocument/2006/relationships/hyperlink" Target="https://www.houjin-bangou.nta.go.jp/henkorireki-johoto.html?selHouzinNo=1011001104408" TargetMode="External"/><Relationship Id="rId159" Type="http://schemas.openxmlformats.org/officeDocument/2006/relationships/hyperlink" Target="https://www.houjin-bangou.nta.go.jp/henkorireki-johoto.html?selHouzinNo=9010401095101" TargetMode="External"/><Relationship Id="rId154" Type="http://schemas.openxmlformats.org/officeDocument/2006/relationships/hyperlink" Target="https://www.houjin-bangou.nta.go.jp/henkorireki-johoto.html?selHouzinNo=2010701026514" TargetMode="External"/><Relationship Id="rId275" Type="http://schemas.openxmlformats.org/officeDocument/2006/relationships/hyperlink" Target="https://www.houjin-bangou.nta.go.jp/henkorireki-johoto.html?selHouzinNo=6010401120729" TargetMode="External"/><Relationship Id="rId396" Type="http://schemas.openxmlformats.org/officeDocument/2006/relationships/hyperlink" Target="https://www.houjin-bangou.nta.go.jp/henkorireki-johoto.html?selHouzinNo=3011001117069" TargetMode="External"/><Relationship Id="rId153" Type="http://schemas.openxmlformats.org/officeDocument/2006/relationships/hyperlink" Target="https://www.houjin-bangou.nta.go.jp/henkorireki-johoto.html?selHouzinNo=5010701025926" TargetMode="External"/><Relationship Id="rId274" Type="http://schemas.openxmlformats.org/officeDocument/2006/relationships/hyperlink" Target="https://miup.jp/" TargetMode="External"/><Relationship Id="rId395" Type="http://schemas.openxmlformats.org/officeDocument/2006/relationships/hyperlink" Target="https://www.buzzreach.co.jp/" TargetMode="External"/><Relationship Id="rId152" Type="http://schemas.openxmlformats.org/officeDocument/2006/relationships/hyperlink" Target="https://www.houjin-bangou.nta.go.jp/henkorireki-johoto.html?selHouzinNo=9040001064791" TargetMode="External"/><Relationship Id="rId273" Type="http://schemas.openxmlformats.org/officeDocument/2006/relationships/hyperlink" Target="https://www.houjin-bangou.nta.go.jp/henkorireki-johoto.html?selHouzinNo=1470001015222" TargetMode="External"/><Relationship Id="rId394" Type="http://schemas.openxmlformats.org/officeDocument/2006/relationships/hyperlink" Target="https://www.houjin-bangou.nta.go.jp/henkorireki-johoto.html?selHouzinNo=3011001118380" TargetMode="External"/><Relationship Id="rId151" Type="http://schemas.openxmlformats.org/officeDocument/2006/relationships/hyperlink" Target="https://www.houjin-bangou.nta.go.jp/henkorireki-johoto.html?selHouzinNo=8010601041269" TargetMode="External"/><Relationship Id="rId272" Type="http://schemas.openxmlformats.org/officeDocument/2006/relationships/hyperlink" Target="https://www.houjin-bangou.nta.go.jp/henkorireki-johoto.html?selHouzinNo=1490001008208" TargetMode="External"/><Relationship Id="rId393" Type="http://schemas.openxmlformats.org/officeDocument/2006/relationships/hyperlink" Target="https://ai-med.jp/company" TargetMode="External"/><Relationship Id="rId158" Type="http://schemas.openxmlformats.org/officeDocument/2006/relationships/hyperlink" Target="https://www.houjin-bangou.nta.go.jp/henkorireki-johoto.html?selHouzinNo=3010001139230" TargetMode="External"/><Relationship Id="rId279" Type="http://schemas.openxmlformats.org/officeDocument/2006/relationships/hyperlink" Target="https://www.desc-hc.co.jp/company" TargetMode="External"/><Relationship Id="rId157" Type="http://schemas.openxmlformats.org/officeDocument/2006/relationships/hyperlink" Target="https://www.houjin-bangou.nta.go.jp/henkorireki-johoto.html?selHouzinNo=8010401119918" TargetMode="External"/><Relationship Id="rId278" Type="http://schemas.openxmlformats.org/officeDocument/2006/relationships/hyperlink" Target="https://www.houjin-bangou.nta.go.jp/henkorireki-johoto.html?selHouzinNo=1011001108615" TargetMode="External"/><Relationship Id="rId399" Type="http://schemas.openxmlformats.org/officeDocument/2006/relationships/hyperlink" Target="https://www.houjin-bangou.nta.go.jp/henkorireki-johoto.html?selHouzinNo=4010001170358" TargetMode="External"/><Relationship Id="rId156" Type="http://schemas.openxmlformats.org/officeDocument/2006/relationships/hyperlink" Target="https://www.houjin-bangou.nta.go.jp/henkorireki-johoto.html?selHouzinNo=4010401097060" TargetMode="External"/><Relationship Id="rId277" Type="http://schemas.openxmlformats.org/officeDocument/2006/relationships/hyperlink" Target="https://icashica.com/company" TargetMode="External"/><Relationship Id="rId398" Type="http://schemas.openxmlformats.org/officeDocument/2006/relationships/hyperlink" Target="https://www.houjin-bangou.nta.go.jp/henkorireki-johoto.html?selHouzinNo=5120901038171" TargetMode="External"/><Relationship Id="rId155" Type="http://schemas.openxmlformats.org/officeDocument/2006/relationships/hyperlink" Target="https://www.houjin-bangou.nta.go.jp/henkorireki-johoto.html?selHouzinNo=9011001070865" TargetMode="External"/><Relationship Id="rId276" Type="http://schemas.openxmlformats.org/officeDocument/2006/relationships/hyperlink" Target="https://www.houjin-bangou.nta.go.jp/henkorireki-johoto.html?selHouzinNo=8010701030873" TargetMode="External"/><Relationship Id="rId397" Type="http://schemas.openxmlformats.org/officeDocument/2006/relationships/hyperlink" Target="https://www.remohab.com/" TargetMode="External"/><Relationship Id="rId40" Type="http://schemas.openxmlformats.org/officeDocument/2006/relationships/hyperlink" Target="http://www.msnw.co.jp/" TargetMode="External"/><Relationship Id="rId42" Type="http://schemas.openxmlformats.org/officeDocument/2006/relationships/hyperlink" Target="http://www.guppy.co.jp/company/" TargetMode="External"/><Relationship Id="rId41" Type="http://schemas.openxmlformats.org/officeDocument/2006/relationships/hyperlink" Target="https://www.houjin-bangou.nta.go.jp/henkorireki-johoto.html?selHouzinNo=6430001025872" TargetMode="External"/><Relationship Id="rId44" Type="http://schemas.openxmlformats.org/officeDocument/2006/relationships/hyperlink" Target="https://corporate.m3.com/" TargetMode="External"/><Relationship Id="rId43" Type="http://schemas.openxmlformats.org/officeDocument/2006/relationships/hyperlink" Target="https://www.houjin-bangou.nta.go.jp/henkorireki-johoto.html?selHouzinNo=5011101043683" TargetMode="External"/><Relationship Id="rId46" Type="http://schemas.openxmlformats.org/officeDocument/2006/relationships/hyperlink" Target="https://medrt.co.jp/" TargetMode="External"/><Relationship Id="rId45" Type="http://schemas.openxmlformats.org/officeDocument/2006/relationships/hyperlink" Target="https://www.houjin-bangou.nta.go.jp/henkorireki-johoto.html?selHouzinNo=1010401063016" TargetMode="External"/><Relationship Id="rId509" Type="http://schemas.openxmlformats.org/officeDocument/2006/relationships/hyperlink" Target="https://medii.jp/" TargetMode="External"/><Relationship Id="rId508" Type="http://schemas.openxmlformats.org/officeDocument/2006/relationships/hyperlink" Target="https://www.houjin-bangou.nta.go.jp/henkorireki-johoto.html?selHouzinNo=8180001134350" TargetMode="External"/><Relationship Id="rId503" Type="http://schemas.openxmlformats.org/officeDocument/2006/relationships/hyperlink" Target="https://www.magicshields.co.jp/" TargetMode="External"/><Relationship Id="rId502" Type="http://schemas.openxmlformats.org/officeDocument/2006/relationships/hyperlink" Target="https://www.houjin-bangou.nta.go.jp/henkorireki-johoto.html?selHouzinNo=1011101077702" TargetMode="External"/><Relationship Id="rId501" Type="http://schemas.openxmlformats.org/officeDocument/2006/relationships/hyperlink" Target="https://www.ouiinc.jp/" TargetMode="External"/><Relationship Id="rId500" Type="http://schemas.openxmlformats.org/officeDocument/2006/relationships/hyperlink" Target="https://www.houjin-bangou.nta.go.jp/henkorireki-johoto.html?selHouzinNo=6010001199148" TargetMode="External"/><Relationship Id="rId507" Type="http://schemas.openxmlformats.org/officeDocument/2006/relationships/hyperlink" Target="https://laview.jp/" TargetMode="External"/><Relationship Id="rId506" Type="http://schemas.openxmlformats.org/officeDocument/2006/relationships/hyperlink" Target="https://www.houjin-bangou.nta.go.jp/henkorireki-johoto.html?selHouzinNo=2010901038516" TargetMode="External"/><Relationship Id="rId505" Type="http://schemas.openxmlformats.org/officeDocument/2006/relationships/hyperlink" Target="https://www.frontierfield.co.jp/" TargetMode="External"/><Relationship Id="rId504" Type="http://schemas.openxmlformats.org/officeDocument/2006/relationships/hyperlink" Target="https://www.houjin-bangou.nta.go.jp/henkorireki-johoto.html?selHouzinNo=3080401024001" TargetMode="External"/><Relationship Id="rId48" Type="http://schemas.openxmlformats.org/officeDocument/2006/relationships/hyperlink" Target="https://www.houjin-bangou.nta.go.jp/henkorireki-johoto.html?selHouzinNo=7011001063607" TargetMode="External"/><Relationship Id="rId47" Type="http://schemas.openxmlformats.org/officeDocument/2006/relationships/hyperlink" Target="https://www.houjin-bangou.nta.go.jp/henkorireki-johoto.html?selHouzinNo=3011101059533" TargetMode="External"/><Relationship Id="rId49" Type="http://schemas.openxmlformats.org/officeDocument/2006/relationships/hyperlink" Target="https://www.optim.co.jp/" TargetMode="External"/><Relationship Id="rId31" Type="http://schemas.openxmlformats.org/officeDocument/2006/relationships/hyperlink" Target="https://www.houjin-bangou.nta.go.jp/henkorireki-johoto.html?selHouzinNo=1011001035966" TargetMode="External"/><Relationship Id="rId30" Type="http://schemas.openxmlformats.org/officeDocument/2006/relationships/hyperlink" Target="https://medical.secom.co.jp/corporate/history.html" TargetMode="External"/><Relationship Id="rId33" Type="http://schemas.openxmlformats.org/officeDocument/2006/relationships/hyperlink" Target="https://www.houjin-bangou.nta.go.jp/henkorireki-johoto.html?selHouzinNo=4140001030292" TargetMode="External"/><Relationship Id="rId32" Type="http://schemas.openxmlformats.org/officeDocument/2006/relationships/hyperlink" Target="https://www.houjin-bangou.nta.go.jp/henkorireki-johoto.html?selHouzinNo=7010401088511" TargetMode="External"/><Relationship Id="rId35" Type="http://schemas.openxmlformats.org/officeDocument/2006/relationships/hyperlink" Target="https://www.carenet.co.jp/" TargetMode="External"/><Relationship Id="rId34" Type="http://schemas.openxmlformats.org/officeDocument/2006/relationships/hyperlink" Target="https://www.houjin-bangou.nta.go.jp/henkorireki-johoto.html?selHouzinNo=8011001045281" TargetMode="External"/><Relationship Id="rId37" Type="http://schemas.openxmlformats.org/officeDocument/2006/relationships/hyperlink" Target="https://www.houjin-bangou.nta.go.jp/henkorireki-johoto.html?selHouzinNo=2490001009840" TargetMode="External"/><Relationship Id="rId36" Type="http://schemas.openxmlformats.org/officeDocument/2006/relationships/hyperlink" Target="https://www.houjin-bangou.nta.go.jp/henkorireki-johoto.html?selHouzinNo=4010001075490" TargetMode="External"/><Relationship Id="rId39" Type="http://schemas.openxmlformats.org/officeDocument/2006/relationships/hyperlink" Target="https://www.houjin-bangou.nta.go.jp/henkorireki-johoto.html?selHouzinNo=3010001090400" TargetMode="External"/><Relationship Id="rId38" Type="http://schemas.openxmlformats.org/officeDocument/2006/relationships/hyperlink" Target="https://www.peacemind.co.jp/" TargetMode="External"/><Relationship Id="rId20" Type="http://schemas.openxmlformats.org/officeDocument/2006/relationships/hyperlink" Target="https://lava-intl.co.jp/" TargetMode="External"/><Relationship Id="rId22" Type="http://schemas.openxmlformats.org/officeDocument/2006/relationships/hyperlink" Target="https://www.wellness.co.jp/index.php" TargetMode="External"/><Relationship Id="rId21" Type="http://schemas.openxmlformats.org/officeDocument/2006/relationships/hyperlink" Target="https://www.houjin-bangou.nta.go.jp/henkorireki-johoto.html?selHouzinNo=5011001044633" TargetMode="External"/><Relationship Id="rId24" Type="http://schemas.openxmlformats.org/officeDocument/2006/relationships/hyperlink" Target="https://www.cmicgroup.com/" TargetMode="External"/><Relationship Id="rId23" Type="http://schemas.openxmlformats.org/officeDocument/2006/relationships/hyperlink" Target="https://www.houjin-bangou.nta.go.jp/henkorireki-johoto.html?selHouzinNo=8010001000899" TargetMode="External"/><Relationship Id="rId409" Type="http://schemas.openxmlformats.org/officeDocument/2006/relationships/hyperlink" Target="https://www.houjin-bangou.nta.go.jp/henkorireki-johoto.html?selHouzinNo=7010501042954" TargetMode="External"/><Relationship Id="rId404" Type="http://schemas.openxmlformats.org/officeDocument/2006/relationships/hyperlink" Target="http://link-cocokara.jp/" TargetMode="External"/><Relationship Id="rId525" Type="http://schemas.openxmlformats.org/officeDocument/2006/relationships/hyperlink" Target="https://www.houjin-bangou.nta.go.jp/henkorireki-johoto.html?selHouzinNo=2011201020908" TargetMode="External"/><Relationship Id="rId403" Type="http://schemas.openxmlformats.org/officeDocument/2006/relationships/hyperlink" Target="https://www.houjin-bangou.nta.go.jp/henkorireki-johoto.html?selHouzinNo=1010401129782" TargetMode="External"/><Relationship Id="rId524" Type="http://schemas.openxmlformats.org/officeDocument/2006/relationships/hyperlink" Target="https://www.kokodokoro.com/" TargetMode="External"/><Relationship Id="rId402" Type="http://schemas.openxmlformats.org/officeDocument/2006/relationships/hyperlink" Target="https://www.emcjpn.com/about/" TargetMode="External"/><Relationship Id="rId523" Type="http://schemas.openxmlformats.org/officeDocument/2006/relationships/hyperlink" Target="https://www.houjin-bangou.nta.go.jp/henkorireki-johoto.html?selHouzinNo=4130001055704" TargetMode="External"/><Relationship Id="rId401" Type="http://schemas.openxmlformats.org/officeDocument/2006/relationships/hyperlink" Target="https://www.houjin-bangou.nta.go.jp/henkorireki-johoto.html?selHouzinNo=2010401129641" TargetMode="External"/><Relationship Id="rId522" Type="http://schemas.openxmlformats.org/officeDocument/2006/relationships/hyperlink" Target="https://rwdata.co.jp/" TargetMode="External"/><Relationship Id="rId408" Type="http://schemas.openxmlformats.org/officeDocument/2006/relationships/hyperlink" Target="https://www.9lione.net/" TargetMode="External"/><Relationship Id="rId529" Type="http://schemas.openxmlformats.org/officeDocument/2006/relationships/hyperlink" Target="https://initial.inc/companies/A-38951" TargetMode="External"/><Relationship Id="rId407" Type="http://schemas.openxmlformats.org/officeDocument/2006/relationships/hyperlink" Target="https://www.houjin-bangou.nta.go.jp/henkorireki-johoto.html?selHouzinNo=2170001014988" TargetMode="External"/><Relationship Id="rId528" Type="http://schemas.openxmlformats.org/officeDocument/2006/relationships/hyperlink" Target="https://wemeet.co.jp/inc" TargetMode="External"/><Relationship Id="rId406" Type="http://schemas.openxmlformats.org/officeDocument/2006/relationships/hyperlink" Target="https://rehearttek.com/" TargetMode="External"/><Relationship Id="rId527" Type="http://schemas.openxmlformats.org/officeDocument/2006/relationships/hyperlink" Target="https://www.houjin-bangou.nta.go.jp/henkorireki-johoto.html?selHouzinNo=2011201020908" TargetMode="External"/><Relationship Id="rId405" Type="http://schemas.openxmlformats.org/officeDocument/2006/relationships/hyperlink" Target="https://www.houjin-bangou.nta.go.jp/henkorireki-johoto.html?selHouzinNo=7180001127264" TargetMode="External"/><Relationship Id="rId526" Type="http://schemas.openxmlformats.org/officeDocument/2006/relationships/hyperlink" Target="https://www.agathalife.com/" TargetMode="External"/><Relationship Id="rId26" Type="http://schemas.openxmlformats.org/officeDocument/2006/relationships/hyperlink" Target="https://www.houjin-bangou.nta.go.jp/henkorireki-johoto.html?selHouzinNo=7700150008344" TargetMode="External"/><Relationship Id="rId25" Type="http://schemas.openxmlformats.org/officeDocument/2006/relationships/hyperlink" Target="https://www.cmicgroup.com/corporate/group" TargetMode="External"/><Relationship Id="rId28" Type="http://schemas.openxmlformats.org/officeDocument/2006/relationships/hyperlink" Target="https://www.ubicom-hd.com/ja/company/group.html" TargetMode="External"/><Relationship Id="rId27" Type="http://schemas.openxmlformats.org/officeDocument/2006/relationships/hyperlink" Target="http://www.ubicom-hd.com/" TargetMode="External"/><Relationship Id="rId400" Type="http://schemas.openxmlformats.org/officeDocument/2006/relationships/hyperlink" Target="http://cuveyes.com/index.html" TargetMode="External"/><Relationship Id="rId521" Type="http://schemas.openxmlformats.org/officeDocument/2006/relationships/hyperlink" Target="https://www.houjin-bangou.nta.go.jp/henkorireki-johoto.html?selHouzinNo=1120001131112" TargetMode="External"/><Relationship Id="rId29" Type="http://schemas.openxmlformats.org/officeDocument/2006/relationships/hyperlink" Target="https://www.houjin-bangou.nta.go.jp/henkorireki-johoto.html?selHouzinNo=8010401059998" TargetMode="External"/><Relationship Id="rId520" Type="http://schemas.openxmlformats.org/officeDocument/2006/relationships/hyperlink" Target="https://medigle.jp/" TargetMode="External"/><Relationship Id="rId11" Type="http://schemas.openxmlformats.org/officeDocument/2006/relationships/hyperlink" Target="https://www.houjin-bangou.nta.go.jp/henkorireki-johoto.html?selHouzinNo=8120001053779" TargetMode="External"/><Relationship Id="rId10" Type="http://schemas.openxmlformats.org/officeDocument/2006/relationships/hyperlink" Target="https://emsystems.co.jp/" TargetMode="External"/><Relationship Id="rId13" Type="http://schemas.openxmlformats.org/officeDocument/2006/relationships/hyperlink" Target="https://www.houjin-bangou.nta.go.jp/henkorireki-johoto.html?selHouzinNo=9240001012318" TargetMode="External"/><Relationship Id="rId12" Type="http://schemas.openxmlformats.org/officeDocument/2006/relationships/hyperlink" Target="https://www.dhorizon.co.jp/" TargetMode="External"/><Relationship Id="rId519" Type="http://schemas.openxmlformats.org/officeDocument/2006/relationships/hyperlink" Target="https://ritaworks.jp/" TargetMode="External"/><Relationship Id="rId514" Type="http://schemas.openxmlformats.org/officeDocument/2006/relationships/hyperlink" Target="https://www.houjin-bangou.nta.go.jp/henkorireki-johoto.html?selHouzinNo=9040001104713" TargetMode="External"/><Relationship Id="rId513" Type="http://schemas.openxmlformats.org/officeDocument/2006/relationships/hyperlink" Target="https://smart119.biz/" TargetMode="External"/><Relationship Id="rId512" Type="http://schemas.openxmlformats.org/officeDocument/2006/relationships/hyperlink" Target="https://www.houjin-bangou.nta.go.jp/henkorireki-johoto.html?selHouzinNo=8080401023865" TargetMode="External"/><Relationship Id="rId511" Type="http://schemas.openxmlformats.org/officeDocument/2006/relationships/hyperlink" Target="https://silvacompass.co.jp/" TargetMode="External"/><Relationship Id="rId518" Type="http://schemas.openxmlformats.org/officeDocument/2006/relationships/hyperlink" Target="https://www.houjin-bangou.nta.go.jp/henkorireki-johoto.html?selHouzinNo=4010401103256" TargetMode="External"/><Relationship Id="rId517" Type="http://schemas.openxmlformats.org/officeDocument/2006/relationships/hyperlink" Target="https://doctorsmobile.jp/" TargetMode="External"/><Relationship Id="rId516" Type="http://schemas.openxmlformats.org/officeDocument/2006/relationships/hyperlink" Target="https://www.houjin-bangou.nta.go.jp/henkorireki-johoto.html?selHouzinNo=5010001200758" TargetMode="External"/><Relationship Id="rId515" Type="http://schemas.openxmlformats.org/officeDocument/2006/relationships/hyperlink" Target="https://brain-sleep.com/" TargetMode="External"/><Relationship Id="rId15" Type="http://schemas.openxmlformats.org/officeDocument/2006/relationships/hyperlink" Target="https://www.tais.co.jp/" TargetMode="External"/><Relationship Id="rId14" Type="http://schemas.openxmlformats.org/officeDocument/2006/relationships/hyperlink" Target="https://www.houjin-bangou.nta.go.jp/henkorireki-johoto.html?selHouzinNo=4010901019431" TargetMode="External"/><Relationship Id="rId17" Type="http://schemas.openxmlformats.org/officeDocument/2006/relationships/hyperlink" Target="https://www.zest.jp/" TargetMode="External"/><Relationship Id="rId16" Type="http://schemas.openxmlformats.org/officeDocument/2006/relationships/hyperlink" Target="https://www.houjin-bangou.nta.go.jp/henkorireki-johoto.html?selHouzinNo=9010001102166" TargetMode="External"/><Relationship Id="rId19" Type="http://schemas.openxmlformats.org/officeDocument/2006/relationships/hyperlink" Target="https://www.houjin-bangou.nta.go.jp/henkorireki-johoto.html?selHouzinNo=2010001023468" TargetMode="External"/><Relationship Id="rId510" Type="http://schemas.openxmlformats.org/officeDocument/2006/relationships/hyperlink" Target="https://www.houjin-bangou.nta.go.jp/henkorireki-johoto.html?selHouzinNo=7011101090575" TargetMode="External"/><Relationship Id="rId18" Type="http://schemas.openxmlformats.org/officeDocument/2006/relationships/hyperlink" Target="https://www.houjin-bangou.nta.go.jp/henkorireki-johoto.html?selHouzinNo=9013301028403" TargetMode="External"/><Relationship Id="rId84" Type="http://schemas.openxmlformats.org/officeDocument/2006/relationships/hyperlink" Target="https://www.houjin-bangou.nta.go.jp/henkorireki-johoto.html?selHouzinNo=1020001121908" TargetMode="External"/><Relationship Id="rId83" Type="http://schemas.openxmlformats.org/officeDocument/2006/relationships/hyperlink" Target="https://www.houjin-bangou.nta.go.jp/henkorireki-johoto.html?selHouzinNo=6011001138401" TargetMode="External"/><Relationship Id="rId86" Type="http://schemas.openxmlformats.org/officeDocument/2006/relationships/hyperlink" Target="https://www.houjin-bangou.nta.go.jp/henkorireki-johoto.html?selHouzinNo=8013201010701" TargetMode="External"/><Relationship Id="rId85" Type="http://schemas.openxmlformats.org/officeDocument/2006/relationships/hyperlink" Target="https://corporate.zenplace.co.jp/" TargetMode="External"/><Relationship Id="rId88" Type="http://schemas.openxmlformats.org/officeDocument/2006/relationships/hyperlink" Target="https://fbeparkhc.jp/" TargetMode="External"/><Relationship Id="rId87" Type="http://schemas.openxmlformats.org/officeDocument/2006/relationships/hyperlink" Target="https://www.houjin-bangou.nta.go.jp/henkorireki-johoto.html?selHouzinNo=8011001073431" TargetMode="External"/><Relationship Id="rId89" Type="http://schemas.openxmlformats.org/officeDocument/2006/relationships/hyperlink" Target="https://www.houjin-bangou.nta.go.jp/henkorireki-johoto.html?selHouzinNo=7420001005379" TargetMode="External"/><Relationship Id="rId80" Type="http://schemas.openxmlformats.org/officeDocument/2006/relationships/hyperlink" Target="https://www.houjin-bangou.nta.go.jp/henkorireki-johoto.html?selHouzinNo=9011101042830" TargetMode="External"/><Relationship Id="rId82" Type="http://schemas.openxmlformats.org/officeDocument/2006/relationships/hyperlink" Target="https://www.houjin-bangou.nta.go.jp/henkorireki-johoto.html?selHouzinNo=4013201010548" TargetMode="External"/><Relationship Id="rId81" Type="http://schemas.openxmlformats.org/officeDocument/2006/relationships/hyperlink" Target="https://www.embrace.co.jp" TargetMode="External"/><Relationship Id="rId73" Type="http://schemas.openxmlformats.org/officeDocument/2006/relationships/hyperlink" Target="https://www.houjin-bangou.nta.go.jp/henkorireki-johoto.html?selHouzinNo=4010401078275" TargetMode="External"/><Relationship Id="rId72" Type="http://schemas.openxmlformats.org/officeDocument/2006/relationships/hyperlink" Target="https://www.houjin-bangou.nta.go.jp/henkorireki-johoto.html?selHouzinNo=4013201016660" TargetMode="External"/><Relationship Id="rId75" Type="http://schemas.openxmlformats.org/officeDocument/2006/relationships/hyperlink" Target="https://www.linkncom.co.jp/" TargetMode="External"/><Relationship Id="rId74" Type="http://schemas.openxmlformats.org/officeDocument/2006/relationships/hyperlink" Target="https://www.houjin-bangou.nta.go.jp/henkorireki-johoto.html?selHouzinNo=1011001042302" TargetMode="External"/><Relationship Id="rId77" Type="http://schemas.openxmlformats.org/officeDocument/2006/relationships/hyperlink" Target="https://www.mdv.co.jp/" TargetMode="External"/><Relationship Id="rId76" Type="http://schemas.openxmlformats.org/officeDocument/2006/relationships/hyperlink" Target="https://www.houjin-bangou.nta.go.jp/henkorireki-johoto.html?selHouzinNo=7011101039597" TargetMode="External"/><Relationship Id="rId79" Type="http://schemas.openxmlformats.org/officeDocument/2006/relationships/hyperlink" Target="https://www.houjin-bangou.nta.go.jp/henkorireki-johoto.html?selHouzinNo=2010001134117" TargetMode="External"/><Relationship Id="rId78" Type="http://schemas.openxmlformats.org/officeDocument/2006/relationships/hyperlink" Target="https://www.houjin-bangou.nta.go.jp/henkorireki-johoto.html?selHouzinNo=7010001087640" TargetMode="External"/><Relationship Id="rId71" Type="http://schemas.openxmlformats.org/officeDocument/2006/relationships/hyperlink" Target="https://www.sophiamedi.co.jp/" TargetMode="External"/><Relationship Id="rId70" Type="http://schemas.openxmlformats.org/officeDocument/2006/relationships/hyperlink" Target="https://www.houjin-bangou.nta.go.jp/henkorireki-johoto.html?selHouzinNo=6010403010531" TargetMode="External"/><Relationship Id="rId62" Type="http://schemas.openxmlformats.org/officeDocument/2006/relationships/hyperlink" Target="https://www.houjin-bangou.nta.go.jp/henkorireki-johoto.html?selHouzinNo=8120001099797" TargetMode="External"/><Relationship Id="rId61" Type="http://schemas.openxmlformats.org/officeDocument/2006/relationships/hyperlink" Target="https://www.ai-sol.jp/" TargetMode="External"/><Relationship Id="rId64" Type="http://schemas.openxmlformats.org/officeDocument/2006/relationships/hyperlink" Target="https://www.houjin-bangou.nta.go.jp/henkorireki-johoto.html?selHouzinNo=1011001036766" TargetMode="External"/><Relationship Id="rId63" Type="http://schemas.openxmlformats.org/officeDocument/2006/relationships/hyperlink" Target="https://www.houjin-bangou.nta.go.jp/henkorireki-johoto.html?selHouzinNo=1011001072836" TargetMode="External"/><Relationship Id="rId66" Type="http://schemas.openxmlformats.org/officeDocument/2006/relationships/hyperlink" Target="https://www.houjin-bangou.nta.go.jp/henkorireki-johoto.html?selHouzinNo=7011001036950" TargetMode="External"/><Relationship Id="rId65" Type="http://schemas.openxmlformats.org/officeDocument/2006/relationships/hyperlink" Target="https://www.valuehr.com/docs/" TargetMode="External"/><Relationship Id="rId68" Type="http://schemas.openxmlformats.org/officeDocument/2006/relationships/hyperlink" Target="https://www.houjin-bangou.nta.go.jp/henkorireki-johoto.html?selHouzinNo=7011001045654" TargetMode="External"/><Relationship Id="rId67" Type="http://schemas.openxmlformats.org/officeDocument/2006/relationships/hyperlink" Target="https://www.houjin-bangou.nta.go.jp/henkorireki-johoto.html?selHouzinNo=2010001088949" TargetMode="External"/><Relationship Id="rId60" Type="http://schemas.openxmlformats.org/officeDocument/2006/relationships/hyperlink" Target="https://www.houjin-bangou.nta.go.jp/henkorireki-johoto.html?selHouzinNo=5290001020542" TargetMode="External"/><Relationship Id="rId69" Type="http://schemas.openxmlformats.org/officeDocument/2006/relationships/hyperlink" Target="https://www.jmdc.co.jp/" TargetMode="External"/><Relationship Id="rId51" Type="http://schemas.openxmlformats.org/officeDocument/2006/relationships/hyperlink" Target="https://www.houjin-bangou.nta.go.jp/henkorireki-johoto.html?selHouzinNo=4300001001392" TargetMode="External"/><Relationship Id="rId50" Type="http://schemas.openxmlformats.org/officeDocument/2006/relationships/hyperlink" Target="https://www.optim.co.jp/corporate/group" TargetMode="External"/><Relationship Id="rId53" Type="http://schemas.openxmlformats.org/officeDocument/2006/relationships/hyperlink" Target="https://www.houjin-bangou.nta.go.jp/henkorireki-johoto.html?selHouzinNo=5010401081856" TargetMode="External"/><Relationship Id="rId52" Type="http://schemas.openxmlformats.org/officeDocument/2006/relationships/hyperlink" Target="https://www.empower-hc.com/" TargetMode="External"/><Relationship Id="rId55" Type="http://schemas.openxmlformats.org/officeDocument/2006/relationships/hyperlink" Target="https://www.houjin-bangou.nta.go.jp/henkorireki-johoto.html?selHouzinNo=4240001015754" TargetMode="External"/><Relationship Id="rId54" Type="http://schemas.openxmlformats.org/officeDocument/2006/relationships/hyperlink" Target="https://www.mnes.org/" TargetMode="External"/><Relationship Id="rId57" Type="http://schemas.openxmlformats.org/officeDocument/2006/relationships/hyperlink" Target="https://www.houjin-bangou.nta.go.jp/henkorireki-johoto.html?selHouzinNo=3010901014730" TargetMode="External"/><Relationship Id="rId56" Type="http://schemas.openxmlformats.org/officeDocument/2006/relationships/hyperlink" Target="https://mediva.co.jp/about/index2.html" TargetMode="External"/><Relationship Id="rId59" Type="http://schemas.openxmlformats.org/officeDocument/2006/relationships/hyperlink" Target="https://www.nmed-center.co.jp/index-51.html" TargetMode="External"/><Relationship Id="rId58" Type="http://schemas.openxmlformats.org/officeDocument/2006/relationships/hyperlink" Target="https://www.houjin-bangou.nta.go.jp/henkorireki-johoto.html?selHouzinNo=9010701012714" TargetMode="External"/><Relationship Id="rId107" Type="http://schemas.openxmlformats.org/officeDocument/2006/relationships/hyperlink" Target="https://www.houjin-bangou.nta.go.jp/henkorireki-johoto.html?selHouzinNo=7011001070685" TargetMode="External"/><Relationship Id="rId228" Type="http://schemas.openxmlformats.org/officeDocument/2006/relationships/hyperlink" Target="https://www.houjin-bangou.nta.go.jp/henkorireki-johoto.html?selHouzinNo=8010401114167" TargetMode="External"/><Relationship Id="rId349" Type="http://schemas.openxmlformats.org/officeDocument/2006/relationships/hyperlink" Target="https://www.houjin-bangou.nta.go.jp/henkorireki-johoto.html?selHouzinNo=9010601050442" TargetMode="External"/><Relationship Id="rId106" Type="http://schemas.openxmlformats.org/officeDocument/2006/relationships/hyperlink" Target="https://fitsplus.co.jp/" TargetMode="External"/><Relationship Id="rId227" Type="http://schemas.openxmlformats.org/officeDocument/2006/relationships/hyperlink" Target="https://www.anamne.com/" TargetMode="External"/><Relationship Id="rId348" Type="http://schemas.openxmlformats.org/officeDocument/2006/relationships/hyperlink" Target="https://www.houjin-bangou.nta.go.jp/henkorireki-johoto.html?selHouzinNo=8010001172763" TargetMode="External"/><Relationship Id="rId469" Type="http://schemas.openxmlformats.org/officeDocument/2006/relationships/hyperlink" Target="https://empowertec.co.jp/" TargetMode="External"/><Relationship Id="rId105" Type="http://schemas.openxmlformats.org/officeDocument/2006/relationships/hyperlink" Target="https://www.houjin-bangou.nta.go.jp/henkorireki-johoto.html?selHouzinNo=4010401091113" TargetMode="External"/><Relationship Id="rId226" Type="http://schemas.openxmlformats.org/officeDocument/2006/relationships/hyperlink" Target="https://www.houjin-bangou.nta.go.jp/henkorireki-johoto.html?selHouzinNo=6011001099437" TargetMode="External"/><Relationship Id="rId347" Type="http://schemas.openxmlformats.org/officeDocument/2006/relationships/hyperlink" Target="https://www.houjin-bangou.nta.go.jp/henkorireki-johoto.html?selHouzinNo=4010001174895" TargetMode="External"/><Relationship Id="rId468" Type="http://schemas.openxmlformats.org/officeDocument/2006/relationships/hyperlink" Target="https://www.houjin-bangou.nta.go.jp/henkorireki-johoto.html?selHouzinNo=4010401148978" TargetMode="External"/><Relationship Id="rId104" Type="http://schemas.openxmlformats.org/officeDocument/2006/relationships/hyperlink" Target="https://www.houjin-bangou.nta.go.jp/henkorireki-johoto.html?selHouzinNo=2011101054824" TargetMode="External"/><Relationship Id="rId225" Type="http://schemas.openxmlformats.org/officeDocument/2006/relationships/hyperlink" Target="https://dena-ls.co.jp/" TargetMode="External"/><Relationship Id="rId346" Type="http://schemas.openxmlformats.org/officeDocument/2006/relationships/hyperlink" Target="https://www.houjin-bangou.nta.go.jp/henkorireki-johoto.html?selHouzinNo=8011001114846" TargetMode="External"/><Relationship Id="rId467" Type="http://schemas.openxmlformats.org/officeDocument/2006/relationships/hyperlink" Target="https://entale.jp/" TargetMode="External"/><Relationship Id="rId109" Type="http://schemas.openxmlformats.org/officeDocument/2006/relationships/hyperlink" Target="http://medithink.co.jp/" TargetMode="External"/><Relationship Id="rId108" Type="http://schemas.openxmlformats.org/officeDocument/2006/relationships/hyperlink" Target="https://www.houjin-bangou.nta.go.jp/henkorireki-johoto.html?selHouzinNo=9010402032532" TargetMode="External"/><Relationship Id="rId229" Type="http://schemas.openxmlformats.org/officeDocument/2006/relationships/hyperlink" Target="https://www.houjin-bangou.nta.go.jp/henkorireki-johoto.html?selHouzinNo=3390001014412" TargetMode="External"/><Relationship Id="rId220" Type="http://schemas.openxmlformats.org/officeDocument/2006/relationships/hyperlink" Target="https://www.houjin-bangou.nta.go.jp/henkorireki-johoto.html?selHouzinNo=8010401115875" TargetMode="External"/><Relationship Id="rId341" Type="http://schemas.openxmlformats.org/officeDocument/2006/relationships/hyperlink" Target="https://exawizards.com/company" TargetMode="External"/><Relationship Id="rId462" Type="http://schemas.openxmlformats.org/officeDocument/2006/relationships/hyperlink" Target="https://www.houjin-bangou.nta.go.jp/henkorireki-johoto.html?selHouzinNo=5010501043871" TargetMode="External"/><Relationship Id="rId340" Type="http://schemas.openxmlformats.org/officeDocument/2006/relationships/hyperlink" Target="https://www.houjin-bangou.nta.go.jp/henkorireki-johoto.html?selHouzinNo=1013301038376" TargetMode="External"/><Relationship Id="rId461" Type="http://schemas.openxmlformats.org/officeDocument/2006/relationships/hyperlink" Target="https://emol.jp/" TargetMode="External"/><Relationship Id="rId460" Type="http://schemas.openxmlformats.org/officeDocument/2006/relationships/hyperlink" Target="https://www.houjin-bangou.nta.go.jp/henkorireki-johoto.html?selHouzinNo=2010502020121" TargetMode="External"/><Relationship Id="rId103" Type="http://schemas.openxmlformats.org/officeDocument/2006/relationships/hyperlink" Target="https://www.spinshell.com/" TargetMode="External"/><Relationship Id="rId224" Type="http://schemas.openxmlformats.org/officeDocument/2006/relationships/hyperlink" Target="https://www.houjin-bangou.nta.go.jp/henkorireki-johoto.html?selHouzinNo=1010001159494" TargetMode="External"/><Relationship Id="rId345" Type="http://schemas.openxmlformats.org/officeDocument/2006/relationships/hyperlink" Target="https://www.houjin-bangou.nta.go.jp/henkorireki-johoto.html?selHouzinNo=2010401128239" TargetMode="External"/><Relationship Id="rId466" Type="http://schemas.openxmlformats.org/officeDocument/2006/relationships/hyperlink" Target="https://www.houjin-bangou.nta.go.jp/henkorireki-johoto.html?selHouzinNo=7011001126636" TargetMode="External"/><Relationship Id="rId102" Type="http://schemas.openxmlformats.org/officeDocument/2006/relationships/hyperlink" Target="https://www.houjin-bangou.nta.go.jp/henkorireki-johoto.html?selHouzinNo=1010901019228" TargetMode="External"/><Relationship Id="rId223" Type="http://schemas.openxmlformats.org/officeDocument/2006/relationships/hyperlink" Target="https://www.houjin-bangou.nta.go.jp/henkorireki-johoto.html?selHouzinNo=1011001099524" TargetMode="External"/><Relationship Id="rId344" Type="http://schemas.openxmlformats.org/officeDocument/2006/relationships/hyperlink" Target="https://www.houjin-bangou.nta.go.jp/henkorireki-johoto.html?selHouzinNo=8010401124298" TargetMode="External"/><Relationship Id="rId465" Type="http://schemas.openxmlformats.org/officeDocument/2006/relationships/hyperlink" Target="https://laundrybox.co.jp/" TargetMode="External"/><Relationship Id="rId101" Type="http://schemas.openxmlformats.org/officeDocument/2006/relationships/hyperlink" Target="https://www.houjin-bangou.nta.go.jp/henkorireki-johoto.html?selHouzinNo=2010601041464" TargetMode="External"/><Relationship Id="rId222" Type="http://schemas.openxmlformats.org/officeDocument/2006/relationships/hyperlink" Target="https://www.houjin-bangou.nta.go.jp/henkorireki-johoto.html?selHouzinNo=7010003022232" TargetMode="External"/><Relationship Id="rId343" Type="http://schemas.openxmlformats.org/officeDocument/2006/relationships/hyperlink" Target="https://www.houjin-bangou.nta.go.jp/henkorireki-johoto.html?selHouzinNo=6010901037910" TargetMode="External"/><Relationship Id="rId464" Type="http://schemas.openxmlformats.org/officeDocument/2006/relationships/hyperlink" Target="https://www.houjin-bangou.nta.go.jp/henkorireki-johoto.html?selHouzinNo=9010901043682" TargetMode="External"/><Relationship Id="rId100" Type="http://schemas.openxmlformats.org/officeDocument/2006/relationships/hyperlink" Target="https://www.houjin-bangou.nta.go.jp/henkorireki-johoto.html?selHouzinNo=6011001046711" TargetMode="External"/><Relationship Id="rId221" Type="http://schemas.openxmlformats.org/officeDocument/2006/relationships/hyperlink" Target="https://www.houjin-bangou.nta.go.jp/henkorireki-johoto.html?selHouzinNo=2011101070788" TargetMode="External"/><Relationship Id="rId342" Type="http://schemas.openxmlformats.org/officeDocument/2006/relationships/hyperlink" Target="https://www.houjin-bangou.nta.go.jp/henkorireki-johoto.html?selHouzinNo=2010001173536" TargetMode="External"/><Relationship Id="rId463" Type="http://schemas.openxmlformats.org/officeDocument/2006/relationships/hyperlink" Target="https://www.relook.jp" TargetMode="External"/><Relationship Id="rId217" Type="http://schemas.openxmlformats.org/officeDocument/2006/relationships/hyperlink" Target="https://cotree.co/" TargetMode="External"/><Relationship Id="rId338" Type="http://schemas.openxmlformats.org/officeDocument/2006/relationships/hyperlink" Target="https://www.houjin-bangou.nta.go.jp/henkorireki-johoto.html?selHouzinNo=3180001124224" TargetMode="External"/><Relationship Id="rId459" Type="http://schemas.openxmlformats.org/officeDocument/2006/relationships/hyperlink" Target="https://www.houjin-bangou.nta.go.jp/henkorireki-johoto.html?selHouzinNo=1010001199714" TargetMode="External"/><Relationship Id="rId216" Type="http://schemas.openxmlformats.org/officeDocument/2006/relationships/hyperlink" Target="https://cotree.co/company" TargetMode="External"/><Relationship Id="rId337" Type="http://schemas.openxmlformats.org/officeDocument/2006/relationships/hyperlink" Target="https://prevent.co.jp/" TargetMode="External"/><Relationship Id="rId458" Type="http://schemas.openxmlformats.org/officeDocument/2006/relationships/hyperlink" Target="https://empheal.co.jp/" TargetMode="External"/><Relationship Id="rId215" Type="http://schemas.openxmlformats.org/officeDocument/2006/relationships/hyperlink" Target="https://www.houjin-bangou.nta.go.jp/henkorireki-johoto.html?selHouzinNo=2011001099036" TargetMode="External"/><Relationship Id="rId336" Type="http://schemas.openxmlformats.org/officeDocument/2006/relationships/hyperlink" Target="https://www.houjin-bangou.nta.go.jp/henkorireki-johoto.html?selHouzinNo=5120001198841" TargetMode="External"/><Relationship Id="rId457" Type="http://schemas.openxmlformats.org/officeDocument/2006/relationships/hyperlink" Target="https://www.houjin-bangou.nta.go.jp/henkorireki-johoto.html?selHouzinNo=4011201021490" TargetMode="External"/><Relationship Id="rId214" Type="http://schemas.openxmlformats.org/officeDocument/2006/relationships/hyperlink" Target="https://www.houjin-bangou.nta.go.jp/henkorireki-johoto.html?selHouzinNo=6011101070090" TargetMode="External"/><Relationship Id="rId335" Type="http://schemas.openxmlformats.org/officeDocument/2006/relationships/hyperlink" Target="https://www.houjin-bangou.nta.go.jp/henkorireki-johoto.html?selHouzinNo=9010001172688" TargetMode="External"/><Relationship Id="rId456" Type="http://schemas.openxmlformats.org/officeDocument/2006/relationships/hyperlink" Target="https://omniheal.jp/about-us/" TargetMode="External"/><Relationship Id="rId219" Type="http://schemas.openxmlformats.org/officeDocument/2006/relationships/hyperlink" Target="https://www.caps365.jp/" TargetMode="External"/><Relationship Id="rId218" Type="http://schemas.openxmlformats.org/officeDocument/2006/relationships/hyperlink" Target="https://www.houjin-bangou.nta.go.jp/henkorireki-johoto.html?selHouzinNo=8011001100136" TargetMode="External"/><Relationship Id="rId339" Type="http://schemas.openxmlformats.org/officeDocument/2006/relationships/hyperlink" Target="https://www.houjin-bangou.nta.go.jp/henkorireki-johoto.html?selHouzinNo=2011001111725" TargetMode="External"/><Relationship Id="rId330" Type="http://schemas.openxmlformats.org/officeDocument/2006/relationships/hyperlink" Target="https://www.houjin-bangou.nta.go.jp/henkorireki-johoto.html?selHouzinNo=6010601050338" TargetMode="External"/><Relationship Id="rId451" Type="http://schemas.openxmlformats.org/officeDocument/2006/relationships/hyperlink" Target="https://www.houjin-bangou.nta.go.jp/henkorireki-johoto.html?selHouzinNo=9011001122229" TargetMode="External"/><Relationship Id="rId450" Type="http://schemas.openxmlformats.org/officeDocument/2006/relationships/hyperlink" Target="https://bw-company.com/" TargetMode="External"/><Relationship Id="rId213" Type="http://schemas.openxmlformats.org/officeDocument/2006/relationships/hyperlink" Target="https://www.houjin-bangou.nta.go.jp/henkorireki-johoto.html?selHouzinNo=7010901034790" TargetMode="External"/><Relationship Id="rId334" Type="http://schemas.openxmlformats.org/officeDocument/2006/relationships/hyperlink" Target="https://encourages.jp/about" TargetMode="External"/><Relationship Id="rId455" Type="http://schemas.openxmlformats.org/officeDocument/2006/relationships/hyperlink" Target="https://www.houjin-bangou.nta.go.jp/henkorireki-johoto.html?selHouzinNo=7010701038372" TargetMode="External"/><Relationship Id="rId212" Type="http://schemas.openxmlformats.org/officeDocument/2006/relationships/hyperlink" Target="https://www.sharemedical.jp/about" TargetMode="External"/><Relationship Id="rId333" Type="http://schemas.openxmlformats.org/officeDocument/2006/relationships/hyperlink" Target="https://www.houjin-bangou.nta.go.jp/henkorireki-johoto.html?selHouzinNo=2011101074005" TargetMode="External"/><Relationship Id="rId454" Type="http://schemas.openxmlformats.org/officeDocument/2006/relationships/hyperlink" Target="https://oh-my-teeth.com/" TargetMode="External"/><Relationship Id="rId211" Type="http://schemas.openxmlformats.org/officeDocument/2006/relationships/hyperlink" Target="https://www.houjin-bangou.nta.go.jp/henkorireki-johoto.html?selHouzinNo=5011101071602" TargetMode="External"/><Relationship Id="rId332" Type="http://schemas.openxmlformats.org/officeDocument/2006/relationships/hyperlink" Target="https://www.houjin-bangou.nta.go.jp/henkorireki-johoto.html?selHouzinNo=4060003002281" TargetMode="External"/><Relationship Id="rId453" Type="http://schemas.openxmlformats.org/officeDocument/2006/relationships/hyperlink" Target="https://www.houjin-bangou.nta.go.jp/henkorireki-johoto.html?selHouzinNo=1011001120074" TargetMode="External"/><Relationship Id="rId210" Type="http://schemas.openxmlformats.org/officeDocument/2006/relationships/hyperlink" Target="https://www.medaca.co.jp/" TargetMode="External"/><Relationship Id="rId331" Type="http://schemas.openxmlformats.org/officeDocument/2006/relationships/hyperlink" Target="https://deepeyevision.com/" TargetMode="External"/><Relationship Id="rId452" Type="http://schemas.openxmlformats.org/officeDocument/2006/relationships/hyperlink" Target="https://www.beatfit.jp/company" TargetMode="External"/><Relationship Id="rId370" Type="http://schemas.openxmlformats.org/officeDocument/2006/relationships/hyperlink" Target="https://www.houjin-bangou.nta.go.jp/henkorireki-johoto.html?selHouzinNo=5011101082021" TargetMode="External"/><Relationship Id="rId491" Type="http://schemas.openxmlformats.org/officeDocument/2006/relationships/hyperlink" Target="https://hellofermata.com/" TargetMode="External"/><Relationship Id="rId490" Type="http://schemas.openxmlformats.org/officeDocument/2006/relationships/hyperlink" Target="https://www.houjin-bangou.nta.go.jp/henkorireki-johoto.html?selHouzinNo=1700150099389" TargetMode="External"/><Relationship Id="rId129" Type="http://schemas.openxmlformats.org/officeDocument/2006/relationships/hyperlink" Target="https://www.houjin-bangou.nta.go.jp/henkorireki-johoto.html?selHouzinNo=6010401078983" TargetMode="External"/><Relationship Id="rId128" Type="http://schemas.openxmlformats.org/officeDocument/2006/relationships/hyperlink" Target="https://www.houjin-bangou.nta.go.jp/henkorireki-johoto.html?selHouzinNo=6011101061817" TargetMode="External"/><Relationship Id="rId249" Type="http://schemas.openxmlformats.org/officeDocument/2006/relationships/hyperlink" Target="https://kakaritsuke.co.jp/" TargetMode="External"/><Relationship Id="rId127" Type="http://schemas.openxmlformats.org/officeDocument/2006/relationships/hyperlink" Target="https://www.houjin-bangou.nta.go.jp/henkorireki-johoto.html?selHouzinNo=6011001062543" TargetMode="External"/><Relationship Id="rId248" Type="http://schemas.openxmlformats.org/officeDocument/2006/relationships/hyperlink" Target="https://www.houjin-bangou.nta.go.jp/henkorireki-johoto.html?selHouzinNo=3011001099448" TargetMode="External"/><Relationship Id="rId369" Type="http://schemas.openxmlformats.org/officeDocument/2006/relationships/hyperlink" Target="https://www.octawell.co.jp/" TargetMode="External"/><Relationship Id="rId126" Type="http://schemas.openxmlformats.org/officeDocument/2006/relationships/hyperlink" Target="https://cancerscan.jp/" TargetMode="External"/><Relationship Id="rId247" Type="http://schemas.openxmlformats.org/officeDocument/2006/relationships/hyperlink" Target="https://corporate.soelu.com/" TargetMode="External"/><Relationship Id="rId368" Type="http://schemas.openxmlformats.org/officeDocument/2006/relationships/hyperlink" Target="https://www.houjin-bangou.nta.go.jp/henkorireki-johoto.html?selHouzinNo=2050001042316" TargetMode="External"/><Relationship Id="rId489" Type="http://schemas.openxmlformats.org/officeDocument/2006/relationships/hyperlink" Target="https://holoash.com/" TargetMode="External"/><Relationship Id="rId121" Type="http://schemas.openxmlformats.org/officeDocument/2006/relationships/hyperlink" Target="https://www.houjin-bangou.nta.go.jp/henkorireki-johoto.html?selHouzinNo=3130001028784" TargetMode="External"/><Relationship Id="rId242" Type="http://schemas.openxmlformats.org/officeDocument/2006/relationships/hyperlink" Target="https://www.houjin-bangou.nta.go.jp/henkorireki-johoto.html?selHouzinNo=7011001102397" TargetMode="External"/><Relationship Id="rId363" Type="http://schemas.openxmlformats.org/officeDocument/2006/relationships/hyperlink" Target="https://www.houjin-bangou.nta.go.jp/henkorireki-johoto.html?selHouzinNo=5010401135298" TargetMode="External"/><Relationship Id="rId484" Type="http://schemas.openxmlformats.org/officeDocument/2006/relationships/hyperlink" Target="https://www.houjin-bangou.nta.go.jp/henkorireki-johoto.html?selHouzinNo=3011401022356" TargetMode="External"/><Relationship Id="rId120" Type="http://schemas.openxmlformats.org/officeDocument/2006/relationships/hyperlink" Target="https://www.promed.jp/company/" TargetMode="External"/><Relationship Id="rId241" Type="http://schemas.openxmlformats.org/officeDocument/2006/relationships/hyperlink" Target="https://www.houjin-bangou.nta.go.jp/henkorireki-johoto.html?selHouzinNo=1010001165030" TargetMode="External"/><Relationship Id="rId362" Type="http://schemas.openxmlformats.org/officeDocument/2006/relationships/hyperlink" Target="https://about.meily.co.jp/" TargetMode="External"/><Relationship Id="rId483" Type="http://schemas.openxmlformats.org/officeDocument/2006/relationships/hyperlink" Target="https://www.contrea.jp/" TargetMode="External"/><Relationship Id="rId240" Type="http://schemas.openxmlformats.org/officeDocument/2006/relationships/hyperlink" Target="https://www.houjin-bangou.nta.go.jp/henkorireki-johoto.html?selHouzinNo=2010401115113" TargetMode="External"/><Relationship Id="rId361" Type="http://schemas.openxmlformats.org/officeDocument/2006/relationships/hyperlink" Target="https://www.houjin-bangou.nta.go.jp/henkorireki-johoto.html?selHouzinNo=7010401132946" TargetMode="External"/><Relationship Id="rId482" Type="http://schemas.openxmlformats.org/officeDocument/2006/relationships/hyperlink" Target="https://www.houjin-bangou.nta.go.jp/henkorireki-johoto.html?selHouzinNo=2011001133744" TargetMode="External"/><Relationship Id="rId360" Type="http://schemas.openxmlformats.org/officeDocument/2006/relationships/hyperlink" Target="http://corp.tribeau.jp/" TargetMode="External"/><Relationship Id="rId481" Type="http://schemas.openxmlformats.org/officeDocument/2006/relationships/hyperlink" Target="https://www.mg-dx.co.jp/" TargetMode="External"/><Relationship Id="rId125" Type="http://schemas.openxmlformats.org/officeDocument/2006/relationships/hyperlink" Target="https://www.houjin-bangou.nta.go.jp/henkorireki-johoto.html?selHouzinNo=1010001112445" TargetMode="External"/><Relationship Id="rId246" Type="http://schemas.openxmlformats.org/officeDocument/2006/relationships/hyperlink" Target="https://www.houjin-bangou.nta.go.jp/henkorireki-johoto.html?selHouzinNo=2290001067438" TargetMode="External"/><Relationship Id="rId367" Type="http://schemas.openxmlformats.org/officeDocument/2006/relationships/hyperlink" Target="https://www.leber11.com/company" TargetMode="External"/><Relationship Id="rId488" Type="http://schemas.openxmlformats.org/officeDocument/2006/relationships/hyperlink" Target="https://www.houjin-bangou.nta.go.jp/henkorireki-johoto.html?selHouzinNo=3010401147312" TargetMode="External"/><Relationship Id="rId124" Type="http://schemas.openxmlformats.org/officeDocument/2006/relationships/hyperlink" Target="https://www.houjin-bangou.nta.go.jp/henkorireki-johoto.html?selHouzinNo=7010401095730" TargetMode="External"/><Relationship Id="rId245" Type="http://schemas.openxmlformats.org/officeDocument/2006/relationships/hyperlink" Target="https://un5ungbut.jp/" TargetMode="External"/><Relationship Id="rId366" Type="http://schemas.openxmlformats.org/officeDocument/2006/relationships/hyperlink" Target="https://www.houjin-bangou.nta.go.jp/henkorireki-johoto.html?selHouzinNo=7010001183010" TargetMode="External"/><Relationship Id="rId487" Type="http://schemas.openxmlformats.org/officeDocument/2006/relationships/hyperlink" Target="https://mederi.jp/" TargetMode="External"/><Relationship Id="rId123" Type="http://schemas.openxmlformats.org/officeDocument/2006/relationships/hyperlink" Target="https://www.houjin-bangou.nta.go.jp/henkorireki-johoto.html?selHouzinNo=6010401079775" TargetMode="External"/><Relationship Id="rId244" Type="http://schemas.openxmlformats.org/officeDocument/2006/relationships/hyperlink" Target="https://www.houjin-bangou.nta.go.jp/henkorireki-johoto.html?selHouzinNo=7180001128618" TargetMode="External"/><Relationship Id="rId365" Type="http://schemas.openxmlformats.org/officeDocument/2006/relationships/hyperlink" Target="https://drsprime.com/" TargetMode="External"/><Relationship Id="rId486" Type="http://schemas.openxmlformats.org/officeDocument/2006/relationships/hyperlink" Target="https://www.houjin-bangou.nta.go.jp/henkorireki-johoto.html?selHouzinNo=1010901046395" TargetMode="External"/><Relationship Id="rId122" Type="http://schemas.openxmlformats.org/officeDocument/2006/relationships/hyperlink" Target="https://www.ghjapan.jp/about.html" TargetMode="External"/><Relationship Id="rId243" Type="http://schemas.openxmlformats.org/officeDocument/2006/relationships/hyperlink" Target="https://everyplus.jp/" TargetMode="External"/><Relationship Id="rId364" Type="http://schemas.openxmlformats.org/officeDocument/2006/relationships/hyperlink" Target="https://www.houjin-bangou.nta.go.jp/henkorireki-johoto.html?selHouzinNo=8180001101821" TargetMode="External"/><Relationship Id="rId485" Type="http://schemas.openxmlformats.org/officeDocument/2006/relationships/hyperlink" Target="https://www.opere.jp/" TargetMode="External"/><Relationship Id="rId95" Type="http://schemas.openxmlformats.org/officeDocument/2006/relationships/hyperlink" Target="https://www.houjin-bangou.nta.go.jp/henkorireki-johoto.html?selHouzinNo=6120001113618" TargetMode="External"/><Relationship Id="rId94" Type="http://schemas.openxmlformats.org/officeDocument/2006/relationships/hyperlink" Target="https://www.artra-group.co.jp/" TargetMode="External"/><Relationship Id="rId97" Type="http://schemas.openxmlformats.org/officeDocument/2006/relationships/hyperlink" Target="https://www.houjin-bangou.nta.go.jp/henkorireki-johoto.html?selHouzinNo=5010001115031" TargetMode="External"/><Relationship Id="rId96" Type="http://schemas.openxmlformats.org/officeDocument/2006/relationships/hyperlink" Target="https://www.ex-partners.co.jp/" TargetMode="External"/><Relationship Id="rId99" Type="http://schemas.openxmlformats.org/officeDocument/2006/relationships/hyperlink" Target="https://www.houjin-bangou.nta.go.jp/henkorireki-johoto.html?selHouzinNo=4013301027145" TargetMode="External"/><Relationship Id="rId480" Type="http://schemas.openxmlformats.org/officeDocument/2006/relationships/hyperlink" Target="https://www.houjin-bangou.nta.go.jp/henkorireki-johoto.html?selHouzinNo=4010401148037" TargetMode="External"/><Relationship Id="rId98" Type="http://schemas.openxmlformats.org/officeDocument/2006/relationships/hyperlink" Target="https://3h-ms.co.jp/" TargetMode="External"/><Relationship Id="rId91" Type="http://schemas.openxmlformats.org/officeDocument/2006/relationships/hyperlink" Target="http://ehealthcare.co.jp/" TargetMode="External"/><Relationship Id="rId90" Type="http://schemas.openxmlformats.org/officeDocument/2006/relationships/hyperlink" Target="https://www.houjin-bangou.nta.go.jp/henkorireki-johoto.html?selHouzinNo=8050001016537" TargetMode="External"/><Relationship Id="rId93" Type="http://schemas.openxmlformats.org/officeDocument/2006/relationships/hyperlink" Target="https://www.houjin-bangou.nta.go.jp/henkorireki-johoto.html?selHouzinNo=4011001044411" TargetMode="External"/><Relationship Id="rId92" Type="http://schemas.openxmlformats.org/officeDocument/2006/relationships/hyperlink" Target="https://www.houjin-bangou.nta.go.jp/henkorireki-johoto.html?selHouzinNo=4011101055432" TargetMode="External"/><Relationship Id="rId118" Type="http://schemas.openxmlformats.org/officeDocument/2006/relationships/hyperlink" Target="http://carepro.co.jp/" TargetMode="External"/><Relationship Id="rId239" Type="http://schemas.openxmlformats.org/officeDocument/2006/relationships/hyperlink" Target="http://hmc-e.com/" TargetMode="External"/><Relationship Id="rId117" Type="http://schemas.openxmlformats.org/officeDocument/2006/relationships/hyperlink" Target="https://www.houjin-bangou.nta.go.jp/henkorireki-johoto.html?selHouzinNo=6010001110840" TargetMode="External"/><Relationship Id="rId238" Type="http://schemas.openxmlformats.org/officeDocument/2006/relationships/hyperlink" Target="https://www.houjin-bangou.nta.go.jp/henkorireki-johoto.html?selHouzinNo=9011001098766" TargetMode="External"/><Relationship Id="rId359" Type="http://schemas.openxmlformats.org/officeDocument/2006/relationships/hyperlink" Target="https://www.houjin-bangou.nta.go.jp/henkorireki-johoto.html?selHouzinNo=7010901037496" TargetMode="External"/><Relationship Id="rId116" Type="http://schemas.openxmlformats.org/officeDocument/2006/relationships/hyperlink" Target="https://www.houjin-bangou.nta.go.jp/henkorireki-johoto.html?selHouzinNo=6010403006422" TargetMode="External"/><Relationship Id="rId237" Type="http://schemas.openxmlformats.org/officeDocument/2006/relationships/hyperlink" Target="https://www.houjin-bangou.nta.go.jp/henkorireki-johoto.html?selHouzinNo=4010401115219" TargetMode="External"/><Relationship Id="rId358" Type="http://schemas.openxmlformats.org/officeDocument/2006/relationships/hyperlink" Target="http://tabekata.jp/" TargetMode="External"/><Relationship Id="rId479" Type="http://schemas.openxmlformats.org/officeDocument/2006/relationships/hyperlink" Target="https://corp.earth.jp/jp/news/2019/pdf/20190905-01.pdf" TargetMode="External"/><Relationship Id="rId115" Type="http://schemas.openxmlformats.org/officeDocument/2006/relationships/hyperlink" Target="http://www.ichigo-llc.co.jp/index.html" TargetMode="External"/><Relationship Id="rId236" Type="http://schemas.openxmlformats.org/officeDocument/2006/relationships/hyperlink" Target="https://www.houjin-bangou.nta.go.jp/henkorireki-johoto.html?selHouzinNo=2010401122308" TargetMode="External"/><Relationship Id="rId357" Type="http://schemas.openxmlformats.org/officeDocument/2006/relationships/hyperlink" Target="https://www.houjin-bangou.nta.go.jp/henkorireki-johoto.html?selHouzinNo=2011101077222" TargetMode="External"/><Relationship Id="rId478" Type="http://schemas.openxmlformats.org/officeDocument/2006/relationships/hyperlink" Target="https://www.houjin-bangou.nta.go.jp/henkorireki-johoto.html?selHouzinNo=6011001116530" TargetMode="External"/><Relationship Id="rId119" Type="http://schemas.openxmlformats.org/officeDocument/2006/relationships/hyperlink" Target="https://www.houjin-bangou.nta.go.jp/henkorireki-johoto.html?selHouzinNo=4020001055401" TargetMode="External"/><Relationship Id="rId110" Type="http://schemas.openxmlformats.org/officeDocument/2006/relationships/hyperlink" Target="https://www.houjin-bangou.nta.go.jp/henkorireki-johoto.html?selHouzinNo=9010401083881" TargetMode="External"/><Relationship Id="rId231" Type="http://schemas.openxmlformats.org/officeDocument/2006/relationships/hyperlink" Target="https://www.houjin-bangou.nta.go.jp/henkorireki-johoto.html?selHouzinNo=9010001158489" TargetMode="External"/><Relationship Id="rId352" Type="http://schemas.openxmlformats.org/officeDocument/2006/relationships/hyperlink" Target="https://muscledeli.co.jp/company/" TargetMode="External"/><Relationship Id="rId473" Type="http://schemas.openxmlformats.org/officeDocument/2006/relationships/hyperlink" Target="https://activaid.me/company" TargetMode="External"/><Relationship Id="rId230" Type="http://schemas.openxmlformats.org/officeDocument/2006/relationships/hyperlink" Target="https://www.houjin-bangou.nta.go.jp/henkorireki-johoto.html?selHouzinNo=4130003003669" TargetMode="External"/><Relationship Id="rId351" Type="http://schemas.openxmlformats.org/officeDocument/2006/relationships/hyperlink" Target="https://www.houjin-bangou.nta.go.jp/henkorireki-johoto.html?selHouzinNo=6120001198816" TargetMode="External"/><Relationship Id="rId472" Type="http://schemas.openxmlformats.org/officeDocument/2006/relationships/hyperlink" Target="https://www.houjin-bangou.nta.go.jp/henkorireki-johoto.html?selHouzinNo=8011101086498" TargetMode="External"/><Relationship Id="rId350" Type="http://schemas.openxmlformats.org/officeDocument/2006/relationships/hyperlink" Target="https://nosh.jp/company" TargetMode="External"/><Relationship Id="rId471" Type="http://schemas.openxmlformats.org/officeDocument/2006/relationships/hyperlink" Target="https://linecorp.com/ja/company/info" TargetMode="External"/><Relationship Id="rId470" Type="http://schemas.openxmlformats.org/officeDocument/2006/relationships/hyperlink" Target="https://www.houjin-bangou.nta.go.jp/henkorireki-johoto.html?selHouzinNo=7290001086862" TargetMode="External"/><Relationship Id="rId114" Type="http://schemas.openxmlformats.org/officeDocument/2006/relationships/hyperlink" Target="https://www.houjin-bangou.nta.go.jp/henkorireki-johoto.html?selHouzinNo=2011101047134" TargetMode="External"/><Relationship Id="rId235" Type="http://schemas.openxmlformats.org/officeDocument/2006/relationships/hyperlink" Target="https://www.houjin-bangou.nta.go.jp/henkorireki-johoto.html?selHouzinNo=9120001182305" TargetMode="External"/><Relationship Id="rId356" Type="http://schemas.openxmlformats.org/officeDocument/2006/relationships/hyperlink" Target="https://corp.carecle.com/" TargetMode="External"/><Relationship Id="rId477" Type="http://schemas.openxmlformats.org/officeDocument/2006/relationships/hyperlink" Target="https://www.watashikampo.com/" TargetMode="External"/><Relationship Id="rId113" Type="http://schemas.openxmlformats.org/officeDocument/2006/relationships/hyperlink" Target="https://www.w-it.co.jp/" TargetMode="External"/><Relationship Id="rId234" Type="http://schemas.openxmlformats.org/officeDocument/2006/relationships/hyperlink" Target="https://tsme.jp/" TargetMode="External"/><Relationship Id="rId355" Type="http://schemas.openxmlformats.org/officeDocument/2006/relationships/hyperlink" Target="https://www.houjin-bangou.nta.go.jp/henkorireki-johoto.html?selHouzinNo=7010401127095" TargetMode="External"/><Relationship Id="rId476" Type="http://schemas.openxmlformats.org/officeDocument/2006/relationships/hyperlink" Target="https://www.houjin-bangou.nta.go.jp/henkorireki-johoto.html?selHouzinNo=5011001127462" TargetMode="External"/><Relationship Id="rId112" Type="http://schemas.openxmlformats.org/officeDocument/2006/relationships/hyperlink" Target="https://www.houjin-bangou.nta.go.jp/henkorireki-johoto.html?selHouzinNo=1120001117458" TargetMode="External"/><Relationship Id="rId233" Type="http://schemas.openxmlformats.org/officeDocument/2006/relationships/hyperlink" Target="https://www.houjin-bangou.nta.go.jp/henkorireki-johoto.html?selHouzinNo=1010401110577" TargetMode="External"/><Relationship Id="rId354" Type="http://schemas.openxmlformats.org/officeDocument/2006/relationships/hyperlink" Target="https://cart-ltd.com/" TargetMode="External"/><Relationship Id="rId475" Type="http://schemas.openxmlformats.org/officeDocument/2006/relationships/hyperlink" Target="https://alloeh.jp/corporate" TargetMode="External"/><Relationship Id="rId111" Type="http://schemas.openxmlformats.org/officeDocument/2006/relationships/hyperlink" Target="https://www.houjin-bangou.nta.go.jp/henkorireki-johoto.html?selHouzinNo=5080001010894" TargetMode="External"/><Relationship Id="rId232" Type="http://schemas.openxmlformats.org/officeDocument/2006/relationships/hyperlink" Target="https://www.houjin-bangou.nta.go.jp/henkorireki-johoto.html?selHouzinNo=4011801029058" TargetMode="External"/><Relationship Id="rId353" Type="http://schemas.openxmlformats.org/officeDocument/2006/relationships/hyperlink" Target="https://www.houjin-bangou.nta.go.jp/henkorireki-johoto.html?selHouzinNo=7011001113849" TargetMode="External"/><Relationship Id="rId474" Type="http://schemas.openxmlformats.org/officeDocument/2006/relationships/hyperlink" Target="https://www.houjin-bangou.nta.go.jp/henkorireki-johoto.html?selHouzinNo=1011101083989" TargetMode="External"/><Relationship Id="rId305" Type="http://schemas.openxmlformats.org/officeDocument/2006/relationships/hyperlink" Target="https://antaa.jp/" TargetMode="External"/><Relationship Id="rId426" Type="http://schemas.openxmlformats.org/officeDocument/2006/relationships/hyperlink" Target="https://aillis.jp/" TargetMode="External"/><Relationship Id="rId547" Type="http://schemas.openxmlformats.org/officeDocument/2006/relationships/vmlDrawing" Target="../drawings/vmlDrawing1.vml"/><Relationship Id="rId304" Type="http://schemas.openxmlformats.org/officeDocument/2006/relationships/hyperlink" Target="https://www.houjin-bangou.nta.go.jp/henkorireki-johoto.html?selHouzinNo=3011001111641" TargetMode="External"/><Relationship Id="rId425" Type="http://schemas.openxmlformats.org/officeDocument/2006/relationships/hyperlink" Target="https://www.houjin-bangou.nta.go.jp/henkorireki-johoto.html?selHouzinNo=7010001192093" TargetMode="External"/><Relationship Id="rId546" Type="http://schemas.openxmlformats.org/officeDocument/2006/relationships/drawing" Target="../drawings/drawing1.xml"/><Relationship Id="rId303" Type="http://schemas.openxmlformats.org/officeDocument/2006/relationships/hyperlink" Target="https://www.houjin-bangou.nta.go.jp/henkorireki-johoto.html?selHouzinNo=5011001110204" TargetMode="External"/><Relationship Id="rId424" Type="http://schemas.openxmlformats.org/officeDocument/2006/relationships/hyperlink" Target="https://craif.com/" TargetMode="External"/><Relationship Id="rId545" Type="http://schemas.openxmlformats.org/officeDocument/2006/relationships/hyperlink" Target="https://www.houjin-bangou.nta.go.jp/henkorireki-johoto.html?selHouzinNo=7120001226716" TargetMode="External"/><Relationship Id="rId302" Type="http://schemas.openxmlformats.org/officeDocument/2006/relationships/hyperlink" Target="https://www.houjin-bangou.nta.go.jp/henkorireki-johoto.html?selHouzinNo=9010401116526" TargetMode="External"/><Relationship Id="rId423" Type="http://schemas.openxmlformats.org/officeDocument/2006/relationships/hyperlink" Target="https://www.houjin-bangou.nta.go.jp/henkorireki-johoto.html?selHouzinNo=7010601052795" TargetMode="External"/><Relationship Id="rId544" Type="http://schemas.openxmlformats.org/officeDocument/2006/relationships/hyperlink" Target="https://hayaregi.jp/" TargetMode="External"/><Relationship Id="rId309" Type="http://schemas.openxmlformats.org/officeDocument/2006/relationships/hyperlink" Target="https://www.epigno.jp/" TargetMode="External"/><Relationship Id="rId308" Type="http://schemas.openxmlformats.org/officeDocument/2006/relationships/hyperlink" Target="https://www.houjin-bangou.nta.go.jp/henkorireki-johoto.html?selHouzinNo=1010001178619" TargetMode="External"/><Relationship Id="rId429" Type="http://schemas.openxmlformats.org/officeDocument/2006/relationships/hyperlink" Target="https://www.houjin-bangou.nta.go.jp/henkorireki-johoto.html?selHouzinNo=7010001194206" TargetMode="External"/><Relationship Id="rId307" Type="http://schemas.openxmlformats.org/officeDocument/2006/relationships/hyperlink" Target="https://doctors-inc.jp/" TargetMode="External"/><Relationship Id="rId428" Type="http://schemas.openxmlformats.org/officeDocument/2006/relationships/hyperlink" Target="https://datack.jp/" TargetMode="External"/><Relationship Id="rId306" Type="http://schemas.openxmlformats.org/officeDocument/2006/relationships/hyperlink" Target="https://www.houjin-bangou.nta.go.jp/henkorireki-johoto.html?selHouzinNo=1011001111461" TargetMode="External"/><Relationship Id="rId427" Type="http://schemas.openxmlformats.org/officeDocument/2006/relationships/hyperlink" Target="https://www.houjin-bangou.nta.go.jp/henkorireki-johoto.html?selHouzinNo=5011101082335" TargetMode="External"/><Relationship Id="rId301" Type="http://schemas.openxmlformats.org/officeDocument/2006/relationships/hyperlink" Target="https://www.mrso.jp/" TargetMode="External"/><Relationship Id="rId422" Type="http://schemas.openxmlformats.org/officeDocument/2006/relationships/hyperlink" Target="https://www.aiwelljapan.com/company/" TargetMode="External"/><Relationship Id="rId543" Type="http://schemas.openxmlformats.org/officeDocument/2006/relationships/hyperlink" Target="https://www.houjin-bangou.nta.go.jp/henkorireki-johoto.html?selHouzinNo=1011001129784" TargetMode="External"/><Relationship Id="rId300" Type="http://schemas.openxmlformats.org/officeDocument/2006/relationships/hyperlink" Target="https://www.houjin-bangou.nta.go.jp/henkorireki-johoto.html?selHouzinNo=8190001023288" TargetMode="External"/><Relationship Id="rId421" Type="http://schemas.openxmlformats.org/officeDocument/2006/relationships/hyperlink" Target="https://www.houjin-bangou.nta.go.jp/henkorireki-johoto.html?selHouzinNo=6010001195683" TargetMode="External"/><Relationship Id="rId542" Type="http://schemas.openxmlformats.org/officeDocument/2006/relationships/hyperlink" Target="https://obotai-healthcare.com/" TargetMode="External"/><Relationship Id="rId420" Type="http://schemas.openxmlformats.org/officeDocument/2006/relationships/hyperlink" Target="https://healthcare-tech.co.jp/" TargetMode="External"/><Relationship Id="rId541" Type="http://schemas.openxmlformats.org/officeDocument/2006/relationships/hyperlink" Target="https://www.houjin-bangou.nta.go.jp/kensaku-kekka.html" TargetMode="External"/><Relationship Id="rId540" Type="http://schemas.openxmlformats.org/officeDocument/2006/relationships/hyperlink" Target="https://yuimedi.com/home" TargetMode="External"/><Relationship Id="rId415" Type="http://schemas.openxmlformats.org/officeDocument/2006/relationships/hyperlink" Target="https://www.houjin-bangou.nta.go.jp/henkorireki-johoto.html?selHouzinNo=4010001190199" TargetMode="External"/><Relationship Id="rId536" Type="http://schemas.openxmlformats.org/officeDocument/2006/relationships/hyperlink" Target="https://knockonthedoor.jp/" TargetMode="External"/><Relationship Id="rId414" Type="http://schemas.openxmlformats.org/officeDocument/2006/relationships/hyperlink" Target="https://dpearl.jp/" TargetMode="External"/><Relationship Id="rId535" Type="http://schemas.openxmlformats.org/officeDocument/2006/relationships/hyperlink" Target="https://www.houjin-bangou.nta.go.jp/henkorireki-johoto.html?selHouzinNo=4360003006070" TargetMode="External"/><Relationship Id="rId413" Type="http://schemas.openxmlformats.org/officeDocument/2006/relationships/hyperlink" Target="https://www.houjin-bangou.nta.go.jp/henkorireki-johoto.html?selHouzinNo=6120001210860" TargetMode="External"/><Relationship Id="rId534" Type="http://schemas.openxmlformats.org/officeDocument/2006/relationships/hyperlink" Target="https://humanome.jp/" TargetMode="External"/><Relationship Id="rId412" Type="http://schemas.openxmlformats.org/officeDocument/2006/relationships/hyperlink" Target="https://novenine.com/aboutus" TargetMode="External"/><Relationship Id="rId533" Type="http://schemas.openxmlformats.org/officeDocument/2006/relationships/hyperlink" Target="https://www.houjin.info/detail/8010001145166/" TargetMode="External"/><Relationship Id="rId419" Type="http://schemas.openxmlformats.org/officeDocument/2006/relationships/hyperlink" Target="https://www.houjin-bangou.nta.go.jp/henkorireki-johoto.html?selHouzinNo=3011001122911" TargetMode="External"/><Relationship Id="rId418" Type="http://schemas.openxmlformats.org/officeDocument/2006/relationships/hyperlink" Target="https://wellness.jp/" TargetMode="External"/><Relationship Id="rId539" Type="http://schemas.openxmlformats.org/officeDocument/2006/relationships/hyperlink" Target="https://www.houjin-bangou.nta.go.jp/henkorireki-johoto.html?selHouzinNo=1010901040290" TargetMode="External"/><Relationship Id="rId417" Type="http://schemas.openxmlformats.org/officeDocument/2006/relationships/hyperlink" Target="https://www.houjin-bangou.nta.go.jp/henkorireki-johoto.html?selHouzinNo=5011101083705" TargetMode="External"/><Relationship Id="rId538" Type="http://schemas.openxmlformats.org/officeDocument/2006/relationships/hyperlink" Target="https://flagellin.com/" TargetMode="External"/><Relationship Id="rId416" Type="http://schemas.openxmlformats.org/officeDocument/2006/relationships/hyperlink" Target="https://metrica.me/" TargetMode="External"/><Relationship Id="rId537" Type="http://schemas.openxmlformats.org/officeDocument/2006/relationships/hyperlink" Target="https://www.houjin-bangou.nta.go.jp/henkorireki-johoto.html?selHouzinNo=1010001193535" TargetMode="External"/><Relationship Id="rId411" Type="http://schemas.openxmlformats.org/officeDocument/2006/relationships/hyperlink" Target="https://www.houjin-bangou.nta.go.jp/henkorireki-johoto.html?selHouzinNo=3010901041519" TargetMode="External"/><Relationship Id="rId532" Type="http://schemas.openxmlformats.org/officeDocument/2006/relationships/hyperlink" Target="https://medical-pst.com/" TargetMode="External"/><Relationship Id="rId410" Type="http://schemas.openxmlformats.org/officeDocument/2006/relationships/hyperlink" Target="https://wellmarket.jp/" TargetMode="External"/><Relationship Id="rId531" Type="http://schemas.openxmlformats.org/officeDocument/2006/relationships/hyperlink" Target="https://www.houjin-bangou.nta.go.jp/henkorireki-johoto.html?selHouzinNo=6020001131530" TargetMode="External"/><Relationship Id="rId530" Type="http://schemas.openxmlformats.org/officeDocument/2006/relationships/hyperlink" Target="https://healthcaregate.co.jp/" TargetMode="External"/><Relationship Id="rId206" Type="http://schemas.openxmlformats.org/officeDocument/2006/relationships/hyperlink" Target="https://www.houjin-bangou.nta.go.jp/henkorireki-johoto.html?selHouzinNo=7011001102645" TargetMode="External"/><Relationship Id="rId327" Type="http://schemas.openxmlformats.org/officeDocument/2006/relationships/hyperlink" Target="https://rehabforjapan.jp/" TargetMode="External"/><Relationship Id="rId448" Type="http://schemas.openxmlformats.org/officeDocument/2006/relationships/hyperlink" Target="https://www.g-l-t.jp/" TargetMode="External"/><Relationship Id="rId205" Type="http://schemas.openxmlformats.org/officeDocument/2006/relationships/hyperlink" Target="https://www.houjin-bangou.nta.go.jp/henkorireki-johoto.html?selHouzinNo=1010401101898" TargetMode="External"/><Relationship Id="rId326" Type="http://schemas.openxmlformats.org/officeDocument/2006/relationships/hyperlink" Target="https://www.houjin-bangou.nta.go.jp/henkorireki-johoto.html?selHouzinNo=1011001113499" TargetMode="External"/><Relationship Id="rId447" Type="http://schemas.openxmlformats.org/officeDocument/2006/relationships/hyperlink" Target="https://www.houjin-bangou.nta.go.jp/henkorireki-johoto.html?selHouzinNo=6011001120152" TargetMode="External"/><Relationship Id="rId204" Type="http://schemas.openxmlformats.org/officeDocument/2006/relationships/hyperlink" Target="https://glomouth.co.jp/" TargetMode="External"/><Relationship Id="rId325" Type="http://schemas.openxmlformats.org/officeDocument/2006/relationships/hyperlink" Target="https://www.premedi.co.jp/" TargetMode="External"/><Relationship Id="rId446" Type="http://schemas.openxmlformats.org/officeDocument/2006/relationships/hyperlink" Target="https://mil-inc.com/" TargetMode="External"/><Relationship Id="rId203" Type="http://schemas.openxmlformats.org/officeDocument/2006/relationships/hyperlink" Target="https://www.houjin-bangou.nta.go.jp/henkorireki-johoto.html?selHouzinNo=5490001007866" TargetMode="External"/><Relationship Id="rId324" Type="http://schemas.openxmlformats.org/officeDocument/2006/relationships/hyperlink" Target="https://www.houjin-bangou.nta.go.jp/henkorireki-johoto.html?selHouzinNo=2140001103769" TargetMode="External"/><Relationship Id="rId445" Type="http://schemas.openxmlformats.org/officeDocument/2006/relationships/hyperlink" Target="https://www.houjin-bangou.nta.go.jp/henkorireki-johoto.html?selHouzinNo=7011001121918" TargetMode="External"/><Relationship Id="rId209" Type="http://schemas.openxmlformats.org/officeDocument/2006/relationships/hyperlink" Target="https://www.houjin-bangou.nta.go.jp/henkorireki-johoto.html?selHouzinNo=3020001105859" TargetMode="External"/><Relationship Id="rId208" Type="http://schemas.openxmlformats.org/officeDocument/2006/relationships/hyperlink" Target="https://akarie.co.jp/company/" TargetMode="External"/><Relationship Id="rId329" Type="http://schemas.openxmlformats.org/officeDocument/2006/relationships/hyperlink" Target="https://monshin.melp.life/" TargetMode="External"/><Relationship Id="rId207" Type="http://schemas.openxmlformats.org/officeDocument/2006/relationships/hyperlink" Target="https://www.houjin-bangou.nta.go.jp/henkorireki-johoto.html?selHouzinNo=6011101071774" TargetMode="External"/><Relationship Id="rId328" Type="http://schemas.openxmlformats.org/officeDocument/2006/relationships/hyperlink" Target="https://www.houjin-bangou.nta.go.jp/henkorireki-johoto.html?selHouzinNo=6010401125397" TargetMode="External"/><Relationship Id="rId449" Type="http://schemas.openxmlformats.org/officeDocument/2006/relationships/hyperlink" Target="https://www.houjin-bangou.nta.go.jp/henkorireki-johoto.html?selHouzinNo=5010001192780" TargetMode="External"/><Relationship Id="rId440" Type="http://schemas.openxmlformats.org/officeDocument/2006/relationships/hyperlink" Target="https://telemedease.org/" TargetMode="External"/><Relationship Id="rId202" Type="http://schemas.openxmlformats.org/officeDocument/2006/relationships/hyperlink" Target="https://exmed.io/corporate/history.html" TargetMode="External"/><Relationship Id="rId323" Type="http://schemas.openxmlformats.org/officeDocument/2006/relationships/hyperlink" Target="https://t-icu.co.jp/jpn/" TargetMode="External"/><Relationship Id="rId444" Type="http://schemas.openxmlformats.org/officeDocument/2006/relationships/hyperlink" Target="http://tricot-inc.com/" TargetMode="External"/><Relationship Id="rId201" Type="http://schemas.openxmlformats.org/officeDocument/2006/relationships/hyperlink" Target="https://www.houjin-bangou.nta.go.jp/henkorireki-johoto.html?selHouzinNo=4010401105780" TargetMode="External"/><Relationship Id="rId322" Type="http://schemas.openxmlformats.org/officeDocument/2006/relationships/hyperlink" Target="https://www.houjin-bangou.nta.go.jp/henkorireki-johoto.html?selHouzinNo=1010001179195" TargetMode="External"/><Relationship Id="rId443" Type="http://schemas.openxmlformats.org/officeDocument/2006/relationships/hyperlink" Target="https://www.houjin-bangou.nta.go.jp/henkorireki-johoto.html?selHouzinNo=7010001191789" TargetMode="External"/><Relationship Id="rId200" Type="http://schemas.openxmlformats.org/officeDocument/2006/relationships/hyperlink" Target="http://stransa.co.jp/" TargetMode="External"/><Relationship Id="rId321" Type="http://schemas.openxmlformats.org/officeDocument/2006/relationships/hyperlink" Target="http://holoeyes.jp/" TargetMode="External"/><Relationship Id="rId442" Type="http://schemas.openxmlformats.org/officeDocument/2006/relationships/hyperlink" Target="https://savemedical.jp/" TargetMode="External"/><Relationship Id="rId320" Type="http://schemas.openxmlformats.org/officeDocument/2006/relationships/hyperlink" Target="https://www.houjin-bangou.nta.go.jp/henkorireki-johoto.html?selHouzinNo=5380001025788" TargetMode="External"/><Relationship Id="rId441" Type="http://schemas.openxmlformats.org/officeDocument/2006/relationships/hyperlink" Target="https://www.houjin-bangou.nta.go.jp/henkorireki-johoto.html?selHouzinNo=9010005028548" TargetMode="External"/><Relationship Id="rId316" Type="http://schemas.openxmlformats.org/officeDocument/2006/relationships/hyperlink" Target="https://www.houjin-bangou.nta.go.jp/henkorireki-johoto.html?selHouzinNo=4011001111351" TargetMode="External"/><Relationship Id="rId437" Type="http://schemas.openxmlformats.org/officeDocument/2006/relationships/hyperlink" Target="https://www.houjin-bangou.nta.go.jp/henkorireki-johoto.html?selHouzinNo=4010501041629" TargetMode="External"/><Relationship Id="rId315" Type="http://schemas.openxmlformats.org/officeDocument/2006/relationships/hyperlink" Target="https://www.houjin-bangou.nta.go.jp/henkorireki-johoto.html?selHouzinNo=6010401125232" TargetMode="External"/><Relationship Id="rId436" Type="http://schemas.openxmlformats.org/officeDocument/2006/relationships/hyperlink" Target="https://herbio.co.jp/" TargetMode="External"/><Relationship Id="rId314" Type="http://schemas.openxmlformats.org/officeDocument/2006/relationships/hyperlink" Target="https://www.appdate.co.jp/" TargetMode="External"/><Relationship Id="rId435" Type="http://schemas.openxmlformats.org/officeDocument/2006/relationships/hyperlink" Target="https://www.houjin-bangou.nta.go.jp/henkorireki-johoto.html?selHouzinNo=2290001080259" TargetMode="External"/><Relationship Id="rId313" Type="http://schemas.openxmlformats.org/officeDocument/2006/relationships/hyperlink" Target="https://www.houjin-bangou.nta.go.jp/henkorireki-johoto.html?selHouzinNo=1010001180104" TargetMode="External"/><Relationship Id="rId434" Type="http://schemas.openxmlformats.org/officeDocument/2006/relationships/hyperlink" Target="https://medmain.com/" TargetMode="External"/><Relationship Id="rId319" Type="http://schemas.openxmlformats.org/officeDocument/2006/relationships/hyperlink" Target="https://www.houjin-bangou.nta.go.jp/henkorireki-johoto.html?selHouzinNo=4010001175588" TargetMode="External"/><Relationship Id="rId318" Type="http://schemas.openxmlformats.org/officeDocument/2006/relationships/hyperlink" Target="https://www.houjin-bangou.nta.go.jp/henkorireki-johoto.html?selHouzinNo=6010401124226" TargetMode="External"/><Relationship Id="rId439" Type="http://schemas.openxmlformats.org/officeDocument/2006/relationships/hyperlink" Target="https://www.houjin-bangou.nta.go.jp/henkorireki-johoto.html?selHouzinNo=8011001120349" TargetMode="External"/><Relationship Id="rId317" Type="http://schemas.openxmlformats.org/officeDocument/2006/relationships/hyperlink" Target="https://www.icareyou.jp/" TargetMode="External"/><Relationship Id="rId438" Type="http://schemas.openxmlformats.org/officeDocument/2006/relationships/hyperlink" Target="https://www.linc-well.com/" TargetMode="External"/><Relationship Id="rId312" Type="http://schemas.openxmlformats.org/officeDocument/2006/relationships/hyperlink" Target="https://o-inc.jp/" TargetMode="External"/><Relationship Id="rId433" Type="http://schemas.openxmlformats.org/officeDocument/2006/relationships/hyperlink" Target="https://www.houjin-bangou.nta.go.jp/henkorireki-johoto.html?selHouzinNo=3010401136240" TargetMode="External"/><Relationship Id="rId311" Type="http://schemas.openxmlformats.org/officeDocument/2006/relationships/hyperlink" Target="https://www.houjin-bangou.nta.go.jp/henkorireki-johoto.html?selHouzinNo=6130001057252" TargetMode="External"/><Relationship Id="rId432" Type="http://schemas.openxmlformats.org/officeDocument/2006/relationships/hyperlink" Target="http://www.nobori.in/" TargetMode="External"/><Relationship Id="rId310" Type="http://schemas.openxmlformats.org/officeDocument/2006/relationships/hyperlink" Target="https://www.houjin-bangou.nta.go.jp/henkorireki-johoto.html?selHouzinNo=8020001117775" TargetMode="External"/><Relationship Id="rId431" Type="http://schemas.openxmlformats.org/officeDocument/2006/relationships/hyperlink" Target="https://www.houjin-bangou.nta.go.jp/henkorireki-johoto.html?selHouzinNo=3290001086726" TargetMode="External"/><Relationship Id="rId430" Type="http://schemas.openxmlformats.org/officeDocument/2006/relationships/hyperlink" Target="https://inazma.co.j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kakaritsuke.co.jp/"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martindoor.com/" TargetMode="External"/><Relationship Id="rId194" Type="http://schemas.openxmlformats.org/officeDocument/2006/relationships/hyperlink" Target="http://www.mytrus.com/" TargetMode="External"/><Relationship Id="rId193" Type="http://schemas.openxmlformats.org/officeDocument/2006/relationships/hyperlink" Target="http://www.oration.com/" TargetMode="External"/><Relationship Id="rId192" Type="http://schemas.openxmlformats.org/officeDocument/2006/relationships/hyperlink" Target="http://www.hometrak.com/" TargetMode="External"/><Relationship Id="rId191" Type="http://schemas.openxmlformats.org/officeDocument/2006/relationships/hyperlink" Target="http://sharepractice.com/" TargetMode="External"/><Relationship Id="rId187" Type="http://schemas.openxmlformats.org/officeDocument/2006/relationships/hyperlink" Target="http://www.telesofia.com/" TargetMode="External"/><Relationship Id="rId186" Type="http://schemas.openxmlformats.org/officeDocument/2006/relationships/hyperlink" Target="http://www.healthfinch.com/" TargetMode="External"/><Relationship Id="rId185" Type="http://schemas.openxmlformats.org/officeDocument/2006/relationships/hyperlink" Target="https://www.limelighthealth.com/" TargetMode="External"/><Relationship Id="rId184" Type="http://schemas.openxmlformats.org/officeDocument/2006/relationships/hyperlink" Target="https://arterys.com/" TargetMode="External"/><Relationship Id="rId189" Type="http://schemas.openxmlformats.org/officeDocument/2006/relationships/hyperlink" Target="https://www.mdsol.com/en" TargetMode="External"/><Relationship Id="rId188" Type="http://schemas.openxmlformats.org/officeDocument/2006/relationships/hyperlink" Target="https://nightingalehealth.com/" TargetMode="External"/><Relationship Id="rId183" Type="http://schemas.openxmlformats.org/officeDocument/2006/relationships/hyperlink" Target="https://www.solvebio.com/" TargetMode="External"/><Relationship Id="rId182" Type="http://schemas.openxmlformats.org/officeDocument/2006/relationships/hyperlink" Target="https://www.crowdmed.com/" TargetMode="External"/><Relationship Id="rId181" Type="http://schemas.openxmlformats.org/officeDocument/2006/relationships/hyperlink" Target="https://getreferralmd.com/" TargetMode="External"/><Relationship Id="rId180" Type="http://schemas.openxmlformats.org/officeDocument/2006/relationships/hyperlink" Target="https://www.scientist.com/" TargetMode="External"/><Relationship Id="rId176" Type="http://schemas.openxmlformats.org/officeDocument/2006/relationships/hyperlink" Target="https://www.augmedix.com/" TargetMode="External"/><Relationship Id="rId175" Type="http://schemas.openxmlformats.org/officeDocument/2006/relationships/hyperlink" Target="http://www.mobitor.com/" TargetMode="External"/><Relationship Id="rId174" Type="http://schemas.openxmlformats.org/officeDocument/2006/relationships/hyperlink" Target="http://syapse.com/" TargetMode="External"/><Relationship Id="rId173" Type="http://schemas.openxmlformats.org/officeDocument/2006/relationships/hyperlink" Target="https://www.medisas.com/" TargetMode="External"/><Relationship Id="rId179" Type="http://schemas.openxmlformats.org/officeDocument/2006/relationships/hyperlink" Target="http://www.castlighthealth.com/" TargetMode="External"/><Relationship Id="rId178" Type="http://schemas.openxmlformats.org/officeDocument/2006/relationships/hyperlink" Target="http://www.mscripts.com/" TargetMode="External"/><Relationship Id="rId177" Type="http://schemas.openxmlformats.org/officeDocument/2006/relationships/hyperlink" Target="http://riffyn.com/" TargetMode="External"/><Relationship Id="rId198" Type="http://schemas.openxmlformats.org/officeDocument/2006/relationships/hyperlink" Target="https://www.crunchbase.com/organization/doctor-on-demand" TargetMode="External"/><Relationship Id="rId197" Type="http://schemas.openxmlformats.org/officeDocument/2006/relationships/hyperlink" Target="https://www.doctorondemand.com/" TargetMode="External"/><Relationship Id="rId196" Type="http://schemas.openxmlformats.org/officeDocument/2006/relationships/hyperlink" Target="http://www.intelemage.com/" TargetMode="External"/><Relationship Id="rId195" Type="http://schemas.openxmlformats.org/officeDocument/2006/relationships/hyperlink" Target="http://www.chitasys.com/" TargetMode="External"/><Relationship Id="rId199" Type="http://schemas.openxmlformats.org/officeDocument/2006/relationships/hyperlink" Target="https://www.doctorondemand.com/" TargetMode="External"/><Relationship Id="rId150" Type="http://schemas.openxmlformats.org/officeDocument/2006/relationships/hyperlink" Target="http://www.greenlightmedical.com/" TargetMode="External"/><Relationship Id="rId1" Type="http://schemas.openxmlformats.org/officeDocument/2006/relationships/comments" Target="../comments2.xml"/><Relationship Id="rId2" Type="http://schemas.openxmlformats.org/officeDocument/2006/relationships/hyperlink" Target="https://goforward.com/" TargetMode="External"/><Relationship Id="rId3" Type="http://schemas.openxmlformats.org/officeDocument/2006/relationships/hyperlink" Target="https://www.crunchbase.com/organization/goforward" TargetMode="External"/><Relationship Id="rId149" Type="http://schemas.openxmlformats.org/officeDocument/2006/relationships/hyperlink" Target="https://www.bridgecrest.com/" TargetMode="External"/><Relationship Id="rId4" Type="http://schemas.openxmlformats.org/officeDocument/2006/relationships/hyperlink" Target="https://angel.co/company/forwardinc" TargetMode="External"/><Relationship Id="rId148" Type="http://schemas.openxmlformats.org/officeDocument/2006/relationships/hyperlink" Target="http://www.airstrip.com/" TargetMode="External"/><Relationship Id="rId9" Type="http://schemas.openxmlformats.org/officeDocument/2006/relationships/hyperlink" Target="https://www.onemedical.com/" TargetMode="External"/><Relationship Id="rId143" Type="http://schemas.openxmlformats.org/officeDocument/2006/relationships/hyperlink" Target="https://www.crunchbase.com/organization/humanapi" TargetMode="External"/><Relationship Id="rId142" Type="http://schemas.openxmlformats.org/officeDocument/2006/relationships/hyperlink" Target="https://www.humanapi.co/" TargetMode="External"/><Relationship Id="rId141" Type="http://schemas.openxmlformats.org/officeDocument/2006/relationships/hyperlink" Target="http://biomeme.com/" TargetMode="External"/><Relationship Id="rId140" Type="http://schemas.openxmlformats.org/officeDocument/2006/relationships/hyperlink" Target="https://www.pingmd.com/" TargetMode="External"/><Relationship Id="rId5" Type="http://schemas.openxmlformats.org/officeDocument/2006/relationships/hyperlink" Target="https://goforward.com/" TargetMode="External"/><Relationship Id="rId147" Type="http://schemas.openxmlformats.org/officeDocument/2006/relationships/hyperlink" Target="http://careathand.com/" TargetMode="External"/><Relationship Id="rId6" Type="http://schemas.openxmlformats.org/officeDocument/2006/relationships/hyperlink" Target="https://www.onemedical.com/" TargetMode="External"/><Relationship Id="rId146" Type="http://schemas.openxmlformats.org/officeDocument/2006/relationships/hyperlink" Target="https://www.glooko.com/" TargetMode="External"/><Relationship Id="rId7" Type="http://schemas.openxmlformats.org/officeDocument/2006/relationships/hyperlink" Target="https://www.crunchbase.com/organization/one-medical-group" TargetMode="External"/><Relationship Id="rId145" Type="http://schemas.openxmlformats.org/officeDocument/2006/relationships/hyperlink" Target="https://www.dacadoo.com/?lang=ja" TargetMode="External"/><Relationship Id="rId8" Type="http://schemas.openxmlformats.org/officeDocument/2006/relationships/hyperlink" Target="https://angel.co/company/one-medical/jobs" TargetMode="External"/><Relationship Id="rId144" Type="http://schemas.openxmlformats.org/officeDocument/2006/relationships/hyperlink" Target="https://www.humanapi.co/" TargetMode="External"/><Relationship Id="rId139" Type="http://schemas.openxmlformats.org/officeDocument/2006/relationships/hyperlink" Target="https://www.agilemd.com/home" TargetMode="External"/><Relationship Id="rId138" Type="http://schemas.openxmlformats.org/officeDocument/2006/relationships/hyperlink" Target="http://vitalhub.com/" TargetMode="External"/><Relationship Id="rId137" Type="http://schemas.openxmlformats.org/officeDocument/2006/relationships/hyperlink" Target="http://www.coremobileinc.com/" TargetMode="External"/><Relationship Id="rId132" Type="http://schemas.openxmlformats.org/officeDocument/2006/relationships/hyperlink" Target="https://www.drchrono.com/" TargetMode="External"/><Relationship Id="rId131" Type="http://schemas.openxmlformats.org/officeDocument/2006/relationships/hyperlink" Target="http://www.practicefusion.com/" TargetMode="External"/><Relationship Id="rId130" Type="http://schemas.openxmlformats.org/officeDocument/2006/relationships/hyperlink" Target="https://dokchain.com/" TargetMode="External"/><Relationship Id="rId136" Type="http://schemas.openxmlformats.org/officeDocument/2006/relationships/hyperlink" Target="https://www.desmahealth.com/" TargetMode="External"/><Relationship Id="rId135" Type="http://schemas.openxmlformats.org/officeDocument/2006/relationships/hyperlink" Target="https://www.grandrounds.com/" TargetMode="External"/><Relationship Id="rId134" Type="http://schemas.openxmlformats.org/officeDocument/2006/relationships/hyperlink" Target="https://www.quartzy.com/" TargetMode="External"/><Relationship Id="rId133" Type="http://schemas.openxmlformats.org/officeDocument/2006/relationships/hyperlink" Target="http://www.clinovo.com/" TargetMode="External"/><Relationship Id="rId172" Type="http://schemas.openxmlformats.org/officeDocument/2006/relationships/hyperlink" Target="http://bluetalon.com/" TargetMode="External"/><Relationship Id="rId171" Type="http://schemas.openxmlformats.org/officeDocument/2006/relationships/hyperlink" Target="https://www.lyrahealth.com/" TargetMode="External"/><Relationship Id="rId170" Type="http://schemas.openxmlformats.org/officeDocument/2006/relationships/hyperlink" Target="https://viewics.com/" TargetMode="External"/><Relationship Id="rId165" Type="http://schemas.openxmlformats.org/officeDocument/2006/relationships/hyperlink" Target="http://betterdoctor.com/" TargetMode="External"/><Relationship Id="rId164" Type="http://schemas.openxmlformats.org/officeDocument/2006/relationships/hyperlink" Target="https://benchling.com/" TargetMode="External"/><Relationship Id="rId163" Type="http://schemas.openxmlformats.org/officeDocument/2006/relationships/hyperlink" Target="http://www.patientping.com/" TargetMode="External"/><Relationship Id="rId162" Type="http://schemas.openxmlformats.org/officeDocument/2006/relationships/hyperlink" Target="https://www.simplyinsured.com/" TargetMode="External"/><Relationship Id="rId169" Type="http://schemas.openxmlformats.org/officeDocument/2006/relationships/hyperlink" Target="https://www.tigertext.com/" TargetMode="External"/><Relationship Id="rId168" Type="http://schemas.openxmlformats.org/officeDocument/2006/relationships/hyperlink" Target="https://www.hc1.com/" TargetMode="External"/><Relationship Id="rId167" Type="http://schemas.openxmlformats.org/officeDocument/2006/relationships/hyperlink" Target="http://www.evariant.com/" TargetMode="External"/><Relationship Id="rId166" Type="http://schemas.openxmlformats.org/officeDocument/2006/relationships/hyperlink" Target="http://www.carecloud.com/" TargetMode="External"/><Relationship Id="rId161" Type="http://schemas.openxmlformats.org/officeDocument/2006/relationships/hyperlink" Target="https://www.simplepractice.com/" TargetMode="External"/><Relationship Id="rId160" Type="http://schemas.openxmlformats.org/officeDocument/2006/relationships/hyperlink" Target="http://healthloop.com/" TargetMode="External"/><Relationship Id="rId159" Type="http://schemas.openxmlformats.org/officeDocument/2006/relationships/hyperlink" Target="https://kno2.com/" TargetMode="External"/><Relationship Id="rId154" Type="http://schemas.openxmlformats.org/officeDocument/2006/relationships/hyperlink" Target="https://connectthedoc.com/" TargetMode="External"/><Relationship Id="rId153" Type="http://schemas.openxmlformats.org/officeDocument/2006/relationships/hyperlink" Target="http://www.imosphere.com/" TargetMode="External"/><Relationship Id="rId152" Type="http://schemas.openxmlformats.org/officeDocument/2006/relationships/hyperlink" Target="https://www.cellscope.com/" TargetMode="External"/><Relationship Id="rId151" Type="http://schemas.openxmlformats.org/officeDocument/2006/relationships/hyperlink" Target="https://www.wellframe.com/" TargetMode="External"/><Relationship Id="rId158" Type="http://schemas.openxmlformats.org/officeDocument/2006/relationships/hyperlink" Target="http://www.zynxhealth.com/" TargetMode="External"/><Relationship Id="rId157" Type="http://schemas.openxmlformats.org/officeDocument/2006/relationships/hyperlink" Target="http://www.attainia.com/" TargetMode="External"/><Relationship Id="rId156" Type="http://schemas.openxmlformats.org/officeDocument/2006/relationships/hyperlink" Target="https://www.clinicient.com/" TargetMode="External"/><Relationship Id="rId155" Type="http://schemas.openxmlformats.org/officeDocument/2006/relationships/hyperlink" Target="http://medrio.com/" TargetMode="External"/><Relationship Id="rId40" Type="http://schemas.openxmlformats.org/officeDocument/2006/relationships/hyperlink" Target="https://www.alivecor.com/" TargetMode="External"/><Relationship Id="rId42" Type="http://schemas.openxmlformats.org/officeDocument/2006/relationships/hyperlink" Target="https://www.crunchbase.com/organization/smilecareclub" TargetMode="External"/><Relationship Id="rId41" Type="http://schemas.openxmlformats.org/officeDocument/2006/relationships/hyperlink" Target="https://smiledirectclub.com/" TargetMode="External"/><Relationship Id="rId44" Type="http://schemas.openxmlformats.org/officeDocument/2006/relationships/hyperlink" Target="https://www.mybasis.com/" TargetMode="External"/><Relationship Id="rId43" Type="http://schemas.openxmlformats.org/officeDocument/2006/relationships/hyperlink" Target="https://smiledirectclub.com/" TargetMode="External"/><Relationship Id="rId46" Type="http://schemas.openxmlformats.org/officeDocument/2006/relationships/hyperlink" Target="https://angel.co/hometeam" TargetMode="External"/><Relationship Id="rId45" Type="http://schemas.openxmlformats.org/officeDocument/2006/relationships/hyperlink" Target="https://hometeamhealth.com/" TargetMode="External"/><Relationship Id="rId48" Type="http://schemas.openxmlformats.org/officeDocument/2006/relationships/hyperlink" Target="https://modernfertility.com/" TargetMode="External"/><Relationship Id="rId47" Type="http://schemas.openxmlformats.org/officeDocument/2006/relationships/hyperlink" Target="https://www.studiodental.com/home" TargetMode="External"/><Relationship Id="rId49" Type="http://schemas.openxmlformats.org/officeDocument/2006/relationships/hyperlink" Target="https://aicure.com/" TargetMode="External"/><Relationship Id="rId31" Type="http://schemas.openxmlformats.org/officeDocument/2006/relationships/hyperlink" Target="https://www.omadahealth.com/" TargetMode="External"/><Relationship Id="rId30" Type="http://schemas.openxmlformats.org/officeDocument/2006/relationships/hyperlink" Target="https://www.crunchbase.com/organization/omada-health" TargetMode="External"/><Relationship Id="rId33" Type="http://schemas.openxmlformats.org/officeDocument/2006/relationships/hyperlink" Target="https://www.crunchbase.com/organization/webmd" TargetMode="External"/><Relationship Id="rId32" Type="http://schemas.openxmlformats.org/officeDocument/2006/relationships/hyperlink" Target="https://www.webmd.com/" TargetMode="External"/><Relationship Id="rId35" Type="http://schemas.openxmlformats.org/officeDocument/2006/relationships/hyperlink" Target="https://www.hioscar.com/" TargetMode="External"/><Relationship Id="rId34" Type="http://schemas.openxmlformats.org/officeDocument/2006/relationships/hyperlink" Target="https://www.webmd.com/" TargetMode="External"/><Relationship Id="rId37" Type="http://schemas.openxmlformats.org/officeDocument/2006/relationships/hyperlink" Target="https://partners.amino.com/home" TargetMode="External"/><Relationship Id="rId36" Type="http://schemas.openxmlformats.org/officeDocument/2006/relationships/hyperlink" Target="https://www.unitedhealthgroup.com/" TargetMode="External"/><Relationship Id="rId39" Type="http://schemas.openxmlformats.org/officeDocument/2006/relationships/hyperlink" Target="https://www.livongo.com/" TargetMode="External"/><Relationship Id="rId38" Type="http://schemas.openxmlformats.org/officeDocument/2006/relationships/hyperlink" Target="https://www.truepill.com/" TargetMode="External"/><Relationship Id="rId20" Type="http://schemas.openxmlformats.org/officeDocument/2006/relationships/hyperlink" Target="https://angel.co/company/zocdoc" TargetMode="External"/><Relationship Id="rId22" Type="http://schemas.openxmlformats.org/officeDocument/2006/relationships/hyperlink" Target="https://www.onepeloton.com/bike" TargetMode="External"/><Relationship Id="rId21" Type="http://schemas.openxmlformats.org/officeDocument/2006/relationships/hyperlink" Target="https://www.zocdoc.com/" TargetMode="External"/><Relationship Id="rId24" Type="http://schemas.openxmlformats.org/officeDocument/2006/relationships/hyperlink" Target="https://www.onepeloton.com/" TargetMode="External"/><Relationship Id="rId23" Type="http://schemas.openxmlformats.org/officeDocument/2006/relationships/hyperlink" Target="https://www.crunchbase.com/organization/peloton-interactive" TargetMode="External"/><Relationship Id="rId26" Type="http://schemas.openxmlformats.org/officeDocument/2006/relationships/hyperlink" Target="https://www.pillpack.com/" TargetMode="External"/><Relationship Id="rId25" Type="http://schemas.openxmlformats.org/officeDocument/2006/relationships/hyperlink" Target="https://www.onepeloton.com/" TargetMode="External"/><Relationship Id="rId28" Type="http://schemas.openxmlformats.org/officeDocument/2006/relationships/hyperlink" Target="https://www.pillpack.com/" TargetMode="External"/><Relationship Id="rId27" Type="http://schemas.openxmlformats.org/officeDocument/2006/relationships/hyperlink" Target="https://www.crunchbase.com/organization/pillpack" TargetMode="External"/><Relationship Id="rId29" Type="http://schemas.openxmlformats.org/officeDocument/2006/relationships/hyperlink" Target="https://www.omadahealth.com/" TargetMode="External"/><Relationship Id="rId11" Type="http://schemas.openxmlformats.org/officeDocument/2006/relationships/hyperlink" Target="https://www.crunchbase.com/organization/welldoc" TargetMode="External"/><Relationship Id="rId10" Type="http://schemas.openxmlformats.org/officeDocument/2006/relationships/hyperlink" Target="https://www.welldoc.com/" TargetMode="External"/><Relationship Id="rId13" Type="http://schemas.openxmlformats.org/officeDocument/2006/relationships/hyperlink" Target="https://www.welldoc.com/product/" TargetMode="External"/><Relationship Id="rId12" Type="http://schemas.openxmlformats.org/officeDocument/2006/relationships/hyperlink" Target="https://angel.co/company/welldoc" TargetMode="External"/><Relationship Id="rId15" Type="http://schemas.openxmlformats.org/officeDocument/2006/relationships/hyperlink" Target="https://www.crunchbase.com/organization/athenahealth" TargetMode="External"/><Relationship Id="rId14" Type="http://schemas.openxmlformats.org/officeDocument/2006/relationships/hyperlink" Target="https://www.athenahealth.com/" TargetMode="External"/><Relationship Id="rId17" Type="http://schemas.openxmlformats.org/officeDocument/2006/relationships/hyperlink" Target="https://www.athenahealth.com/" TargetMode="External"/><Relationship Id="rId16" Type="http://schemas.openxmlformats.org/officeDocument/2006/relationships/hyperlink" Target="https://angel.co/company/athenahealth" TargetMode="External"/><Relationship Id="rId19" Type="http://schemas.openxmlformats.org/officeDocument/2006/relationships/hyperlink" Target="https://www.crunchbase.com/organization/zocdoc" TargetMode="External"/><Relationship Id="rId18" Type="http://schemas.openxmlformats.org/officeDocument/2006/relationships/hyperlink" Target="https://www.zocdoc.com/" TargetMode="External"/><Relationship Id="rId84" Type="http://schemas.openxmlformats.org/officeDocument/2006/relationships/hyperlink" Target="https://www.crunchbase.com/organization/strive-health" TargetMode="External"/><Relationship Id="rId83" Type="http://schemas.openxmlformats.org/officeDocument/2006/relationships/hyperlink" Target="https://strivehealth.com/" TargetMode="External"/><Relationship Id="rId86" Type="http://schemas.openxmlformats.org/officeDocument/2006/relationships/hyperlink" Target="https://www.lemonaidhealth.com/" TargetMode="External"/><Relationship Id="rId85" Type="http://schemas.openxmlformats.org/officeDocument/2006/relationships/hyperlink" Target="https://www.vida.com/" TargetMode="External"/><Relationship Id="rId88" Type="http://schemas.openxmlformats.org/officeDocument/2006/relationships/hyperlink" Target="https://welltok.com/" TargetMode="External"/><Relationship Id="rId87" Type="http://schemas.openxmlformats.org/officeDocument/2006/relationships/hyperlink" Target="http://medeanalytics.com/" TargetMode="External"/><Relationship Id="rId89" Type="http://schemas.openxmlformats.org/officeDocument/2006/relationships/hyperlink" Target="https://www.veeva.com/jp/" TargetMode="External"/><Relationship Id="rId80" Type="http://schemas.openxmlformats.org/officeDocument/2006/relationships/hyperlink" Target="https://www.blinkhealth.com/" TargetMode="External"/><Relationship Id="rId82" Type="http://schemas.openxmlformats.org/officeDocument/2006/relationships/hyperlink" Target="https://www.crickethealth.com/" TargetMode="External"/><Relationship Id="rId81" Type="http://schemas.openxmlformats.org/officeDocument/2006/relationships/hyperlink" Target="https://procuredhealth.com/" TargetMode="External"/><Relationship Id="rId73" Type="http://schemas.openxmlformats.org/officeDocument/2006/relationships/hyperlink" Target="https://icouch.me/" TargetMode="External"/><Relationship Id="rId72" Type="http://schemas.openxmlformats.org/officeDocument/2006/relationships/hyperlink" Target="http://icouch.me" TargetMode="External"/><Relationship Id="rId75" Type="http://schemas.openxmlformats.org/officeDocument/2006/relationships/hyperlink" Target="https://www.getquip.com/" TargetMode="External"/><Relationship Id="rId74" Type="http://schemas.openxmlformats.org/officeDocument/2006/relationships/hyperlink" Target="https://curology.com/" TargetMode="External"/><Relationship Id="rId77" Type="http://schemas.openxmlformats.org/officeDocument/2006/relationships/hyperlink" Target="https://www.getroman.com/" TargetMode="External"/><Relationship Id="rId76" Type="http://schemas.openxmlformats.org/officeDocument/2006/relationships/hyperlink" Target="https://www.forhims.com/rocket5?ref=producthunt" TargetMode="External"/><Relationship Id="rId79" Type="http://schemas.openxmlformats.org/officeDocument/2006/relationships/hyperlink" Target="https://www.alto.com/" TargetMode="External"/><Relationship Id="rId78" Type="http://schemas.openxmlformats.org/officeDocument/2006/relationships/hyperlink" Target="https://thirtymadison.com/" TargetMode="External"/><Relationship Id="rId71" Type="http://schemas.openxmlformats.org/officeDocument/2006/relationships/hyperlink" Target="https://www.medstartr.com/" TargetMode="External"/><Relationship Id="rId70" Type="http://schemas.openxmlformats.org/officeDocument/2006/relationships/hyperlink" Target="https://www.fitocracy.com/" TargetMode="External"/><Relationship Id="rId62" Type="http://schemas.openxmlformats.org/officeDocument/2006/relationships/hyperlink" Target="https://www.aptible.com/" TargetMode="External"/><Relationship Id="rId61" Type="http://schemas.openxmlformats.org/officeDocument/2006/relationships/hyperlink" Target="https://www.optum.com/content/dam/optum3/optum/en/resources/PDFs/everest-group-healthcare-analytics-services-providers-2019.pdf" TargetMode="External"/><Relationship Id="rId64" Type="http://schemas.openxmlformats.org/officeDocument/2006/relationships/hyperlink" Target="https://firstopinionapp.com/" TargetMode="External"/><Relationship Id="rId63" Type="http://schemas.openxmlformats.org/officeDocument/2006/relationships/hyperlink" Target="https://www.aptible.com/comply/" TargetMode="External"/><Relationship Id="rId66" Type="http://schemas.openxmlformats.org/officeDocument/2006/relationships/hyperlink" Target="https://www.directderm.com/" TargetMode="External"/><Relationship Id="rId65" Type="http://schemas.openxmlformats.org/officeDocument/2006/relationships/hyperlink" Target="https://www.phreesia.com/" TargetMode="External"/><Relationship Id="rId68" Type="http://schemas.openxmlformats.org/officeDocument/2006/relationships/hyperlink" Target="https://www.directderm.com/" TargetMode="External"/><Relationship Id="rId67" Type="http://schemas.openxmlformats.org/officeDocument/2006/relationships/hyperlink" Target="https://www.crunchbase.com/organization/direct-dermatology" TargetMode="External"/><Relationship Id="rId60" Type="http://schemas.openxmlformats.org/officeDocument/2006/relationships/hyperlink" Target="https://www.optum.com/" TargetMode="External"/><Relationship Id="rId69" Type="http://schemas.openxmlformats.org/officeDocument/2006/relationships/hyperlink" Target="https://pager.com/" TargetMode="External"/><Relationship Id="rId51" Type="http://schemas.openxmlformats.org/officeDocument/2006/relationships/hyperlink" Target="https://ritual.com/" TargetMode="External"/><Relationship Id="rId50" Type="http://schemas.openxmlformats.org/officeDocument/2006/relationships/hyperlink" Target="https://www.practo.com/" TargetMode="External"/><Relationship Id="rId53" Type="http://schemas.openxmlformats.org/officeDocument/2006/relationships/hyperlink" Target="https://angel.co/ritual-4/activity" TargetMode="External"/><Relationship Id="rId52" Type="http://schemas.openxmlformats.org/officeDocument/2006/relationships/hyperlink" Target="https://www.crunchbase.com/organization/ritual-2" TargetMode="External"/><Relationship Id="rId55" Type="http://schemas.openxmlformats.org/officeDocument/2006/relationships/hyperlink" Target="https://www.candidco.com/" TargetMode="External"/><Relationship Id="rId54" Type="http://schemas.openxmlformats.org/officeDocument/2006/relationships/hyperlink" Target="https://takecareof.com/" TargetMode="External"/><Relationship Id="rId57" Type="http://schemas.openxmlformats.org/officeDocument/2006/relationships/hyperlink" Target="https://www.keeps.com/" TargetMode="External"/><Relationship Id="rId56" Type="http://schemas.openxmlformats.org/officeDocument/2006/relationships/hyperlink" Target="https://www.hubblecontacts.com/" TargetMode="External"/><Relationship Id="rId59" Type="http://schemas.openxmlformats.org/officeDocument/2006/relationships/hyperlink" Target="https://figure1.com/" TargetMode="External"/><Relationship Id="rId58" Type="http://schemas.openxmlformats.org/officeDocument/2006/relationships/hyperlink" Target="https://ginger.io/" TargetMode="External"/><Relationship Id="rId107" Type="http://schemas.openxmlformats.org/officeDocument/2006/relationships/hyperlink" Target="https://www.doximity.com/" TargetMode="External"/><Relationship Id="rId106" Type="http://schemas.openxmlformats.org/officeDocument/2006/relationships/hyperlink" Target="https://www.kaiahealth.com/" TargetMode="External"/><Relationship Id="rId227" Type="http://schemas.openxmlformats.org/officeDocument/2006/relationships/vmlDrawing" Target="../drawings/vmlDrawing2.vml"/><Relationship Id="rId105" Type="http://schemas.openxmlformats.org/officeDocument/2006/relationships/hyperlink" Target="https://www.crunchbase.com/organization/blowfish-health" TargetMode="External"/><Relationship Id="rId226" Type="http://schemas.openxmlformats.org/officeDocument/2006/relationships/drawing" Target="../drawings/drawing4.xml"/><Relationship Id="rId104" Type="http://schemas.openxmlformats.org/officeDocument/2006/relationships/hyperlink" Target="http://www.blowfishhealth.com/" TargetMode="External"/><Relationship Id="rId225" Type="http://schemas.openxmlformats.org/officeDocument/2006/relationships/hyperlink" Target="https://www.meruhealth.com/" TargetMode="External"/><Relationship Id="rId109" Type="http://schemas.openxmlformats.org/officeDocument/2006/relationships/hyperlink" Target="https://www.qunomedical.com/en/" TargetMode="External"/><Relationship Id="rId108" Type="http://schemas.openxmlformats.org/officeDocument/2006/relationships/hyperlink" Target="https://web.nephosity.com/" TargetMode="External"/><Relationship Id="rId220" Type="http://schemas.openxmlformats.org/officeDocument/2006/relationships/hyperlink" Target="https://onedrop.today/" TargetMode="External"/><Relationship Id="rId103" Type="http://schemas.openxmlformats.org/officeDocument/2006/relationships/hyperlink" Target="https://www.simplecontacts.com/" TargetMode="External"/><Relationship Id="rId224" Type="http://schemas.openxmlformats.org/officeDocument/2006/relationships/hyperlink" Target="https://www.ribbonhealth.com/" TargetMode="External"/><Relationship Id="rId102" Type="http://schemas.openxmlformats.org/officeDocument/2006/relationships/hyperlink" Target="https://www.simplecontacts.com/" TargetMode="External"/><Relationship Id="rId223" Type="http://schemas.openxmlformats.org/officeDocument/2006/relationships/hyperlink" Target="https://www.apostrophe.com/" TargetMode="External"/><Relationship Id="rId101" Type="http://schemas.openxmlformats.org/officeDocument/2006/relationships/hyperlink" Target="https://classpass.com/" TargetMode="External"/><Relationship Id="rId222" Type="http://schemas.openxmlformats.org/officeDocument/2006/relationships/hyperlink" Target="https://crunchbase.com/organization/yoderm" TargetMode="External"/><Relationship Id="rId100" Type="http://schemas.openxmlformats.org/officeDocument/2006/relationships/hyperlink" Target="https://www.truthoncall.com/" TargetMode="External"/><Relationship Id="rId221" Type="http://schemas.openxmlformats.org/officeDocument/2006/relationships/hyperlink" Target="https://www.apostrophe.com/" TargetMode="External"/><Relationship Id="rId217" Type="http://schemas.openxmlformats.org/officeDocument/2006/relationships/hyperlink" Target="https://concertohealthai.com/" TargetMode="External"/><Relationship Id="rId216" Type="http://schemas.openxmlformats.org/officeDocument/2006/relationships/hyperlink" Target="https://grythealth.com/" TargetMode="External"/><Relationship Id="rId215" Type="http://schemas.openxmlformats.org/officeDocument/2006/relationships/hyperlink" Target="https://healint.com/" TargetMode="External"/><Relationship Id="rId214" Type="http://schemas.openxmlformats.org/officeDocument/2006/relationships/hyperlink" Target="https://sherpaa.com/" TargetMode="External"/><Relationship Id="rId219" Type="http://schemas.openxmlformats.org/officeDocument/2006/relationships/hyperlink" Target="https://onedrop.today/" TargetMode="External"/><Relationship Id="rId218" Type="http://schemas.openxmlformats.org/officeDocument/2006/relationships/hyperlink" Target="https://www.pathai.com/" TargetMode="External"/><Relationship Id="rId213" Type="http://schemas.openxmlformats.org/officeDocument/2006/relationships/hyperlink" Target="https://sherpaa.com/" TargetMode="External"/><Relationship Id="rId212" Type="http://schemas.openxmlformats.org/officeDocument/2006/relationships/hyperlink" Target="https://www.mdlive.com/" TargetMode="External"/><Relationship Id="rId211" Type="http://schemas.openxmlformats.org/officeDocument/2006/relationships/hyperlink" Target="https://www.mdlive.com/" TargetMode="External"/><Relationship Id="rId210" Type="http://schemas.openxmlformats.org/officeDocument/2006/relationships/hyperlink" Target="https://www.steadymd.com/" TargetMode="External"/><Relationship Id="rId129" Type="http://schemas.openxmlformats.org/officeDocument/2006/relationships/hyperlink" Target="https://pokitdok.com/" TargetMode="External"/><Relationship Id="rId128" Type="http://schemas.openxmlformats.org/officeDocument/2006/relationships/hyperlink" Target="https://collectivehealth.com/" TargetMode="External"/><Relationship Id="rId127" Type="http://schemas.openxmlformats.org/officeDocument/2006/relationships/hyperlink" Target="https://www.crunchbase.com/organization/mango-health" TargetMode="External"/><Relationship Id="rId126" Type="http://schemas.openxmlformats.org/officeDocument/2006/relationships/hyperlink" Target="https://www.mangohealth.com/" TargetMode="External"/><Relationship Id="rId121" Type="http://schemas.openxmlformats.org/officeDocument/2006/relationships/hyperlink" Target="https://www.medigram.com/index.html" TargetMode="External"/><Relationship Id="rId120" Type="http://schemas.openxmlformats.org/officeDocument/2006/relationships/hyperlink" Target="https://www.privishealth.com/" TargetMode="External"/><Relationship Id="rId125" Type="http://schemas.openxmlformats.org/officeDocument/2006/relationships/hyperlink" Target="https://www.manageupprm.com/" TargetMode="External"/><Relationship Id="rId124" Type="http://schemas.openxmlformats.org/officeDocument/2006/relationships/hyperlink" Target="http://www.gobiquity.com/" TargetMode="External"/><Relationship Id="rId123" Type="http://schemas.openxmlformats.org/officeDocument/2006/relationships/hyperlink" Target="http://medikly.com/" TargetMode="External"/><Relationship Id="rId122" Type="http://schemas.openxmlformats.org/officeDocument/2006/relationships/hyperlink" Target="http://healium.com/" TargetMode="External"/><Relationship Id="rId95" Type="http://schemas.openxmlformats.org/officeDocument/2006/relationships/hyperlink" Target="https://www.firstderm.com/" TargetMode="External"/><Relationship Id="rId94" Type="http://schemas.openxmlformats.org/officeDocument/2006/relationships/hyperlink" Target="https://verily.com/" TargetMode="External"/><Relationship Id="rId97" Type="http://schemas.openxmlformats.org/officeDocument/2006/relationships/hyperlink" Target="https://angel.co/company/firstderm" TargetMode="External"/><Relationship Id="rId96" Type="http://schemas.openxmlformats.org/officeDocument/2006/relationships/hyperlink" Target="https://www.crunchbase.com/organization/idoc24" TargetMode="External"/><Relationship Id="rId99" Type="http://schemas.openxmlformats.org/officeDocument/2006/relationships/hyperlink" Target="http://www.empower-interactive.com/" TargetMode="External"/><Relationship Id="rId98" Type="http://schemas.openxmlformats.org/officeDocument/2006/relationships/hyperlink" Target="https://www.firstderm.com/" TargetMode="External"/><Relationship Id="rId91" Type="http://schemas.openxmlformats.org/officeDocument/2006/relationships/hyperlink" Target="https://www.stridehealth.com/" TargetMode="External"/><Relationship Id="rId90" Type="http://schemas.openxmlformats.org/officeDocument/2006/relationships/hyperlink" Target="http://reflexionhealth.com/" TargetMode="External"/><Relationship Id="rId93" Type="http://schemas.openxmlformats.org/officeDocument/2006/relationships/hyperlink" Target="https://www.irhythmtech.com/" TargetMode="External"/><Relationship Id="rId92" Type="http://schemas.openxmlformats.org/officeDocument/2006/relationships/hyperlink" Target="https://www.akiliinteractive.com/" TargetMode="External"/><Relationship Id="rId118" Type="http://schemas.openxmlformats.org/officeDocument/2006/relationships/hyperlink" Target="http://www.ordergroove.com/solutions" TargetMode="External"/><Relationship Id="rId117" Type="http://schemas.openxmlformats.org/officeDocument/2006/relationships/hyperlink" Target="https://www.clearcareonline.com/" TargetMode="External"/><Relationship Id="rId116" Type="http://schemas.openxmlformats.org/officeDocument/2006/relationships/hyperlink" Target="https://myriadwomenshealth.com/" TargetMode="External"/><Relationship Id="rId115" Type="http://schemas.openxmlformats.org/officeDocument/2006/relationships/hyperlink" Target="https://www.goodrx.com/" TargetMode="External"/><Relationship Id="rId119" Type="http://schemas.openxmlformats.org/officeDocument/2006/relationships/hyperlink" Target="https://www.webpt.com/" TargetMode="External"/><Relationship Id="rId110" Type="http://schemas.openxmlformats.org/officeDocument/2006/relationships/hyperlink" Target="https://patientio.com/" TargetMode="External"/><Relationship Id="rId114" Type="http://schemas.openxmlformats.org/officeDocument/2006/relationships/hyperlink" Target="https://capsuletech.com/" TargetMode="External"/><Relationship Id="rId113" Type="http://schemas.openxmlformats.org/officeDocument/2006/relationships/hyperlink" Target="https://capsuletech.com/" TargetMode="External"/><Relationship Id="rId112" Type="http://schemas.openxmlformats.org/officeDocument/2006/relationships/hyperlink" Target="https://capsuletech.com/" TargetMode="External"/><Relationship Id="rId111" Type="http://schemas.openxmlformats.org/officeDocument/2006/relationships/hyperlink" Target="https://www.morelabs.com/" TargetMode="External"/><Relationship Id="rId206" Type="http://schemas.openxmlformats.org/officeDocument/2006/relationships/hyperlink" Target="https://www.findoctave.com/" TargetMode="External"/><Relationship Id="rId205" Type="http://schemas.openxmlformats.org/officeDocument/2006/relationships/hyperlink" Target="https://www.crunchbase.com/organization/wink-health" TargetMode="External"/><Relationship Id="rId204" Type="http://schemas.openxmlformats.org/officeDocument/2006/relationships/hyperlink" Target="https://www.otohealth.com/" TargetMode="External"/><Relationship Id="rId203" Type="http://schemas.openxmlformats.org/officeDocument/2006/relationships/hyperlink" Target="https://www.crunchbase.com/organization/meedoc" TargetMode="External"/><Relationship Id="rId209" Type="http://schemas.openxmlformats.org/officeDocument/2006/relationships/hyperlink" Target="https://www.steadymd.com/" TargetMode="External"/><Relationship Id="rId208" Type="http://schemas.openxmlformats.org/officeDocument/2006/relationships/hyperlink" Target="https://www.adventhealth.com/" TargetMode="External"/><Relationship Id="rId207" Type="http://schemas.openxmlformats.org/officeDocument/2006/relationships/hyperlink" Target="https://www.healthnavigator.com/" TargetMode="External"/><Relationship Id="rId202" Type="http://schemas.openxmlformats.org/officeDocument/2006/relationships/hyperlink" Target="https://www.gotthardt.com/company/" TargetMode="External"/><Relationship Id="rId201" Type="http://schemas.openxmlformats.org/officeDocument/2006/relationships/hyperlink" Target="https://klara.com/" TargetMode="External"/><Relationship Id="rId200" Type="http://schemas.openxmlformats.org/officeDocument/2006/relationships/hyperlink" Target="https://www.crunchbase.com/organization/healthspo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guahao.com/intro/userapp" TargetMode="External"/><Relationship Id="rId2" Type="http://schemas.openxmlformats.org/officeDocument/2006/relationships/hyperlink" Target="https://www.alihealth.cn/" TargetMode="External"/><Relationship Id="rId3" Type="http://schemas.openxmlformats.org/officeDocument/2006/relationships/hyperlink" Target="http://www.jk.cn/" TargetMode="External"/><Relationship Id="rId4" Type="http://schemas.openxmlformats.org/officeDocument/2006/relationships/hyperlink" Target="https://www.crunchbase.com/organization/ping-an-good-doctor" TargetMode="External"/><Relationship Id="rId9" Type="http://schemas.openxmlformats.org/officeDocument/2006/relationships/hyperlink" Target="https://www.crunchbase.com/organization/halodoc" TargetMode="External"/><Relationship Id="rId5" Type="http://schemas.openxmlformats.org/officeDocument/2006/relationships/hyperlink" Target="https://www.onespax.com/" TargetMode="External"/><Relationship Id="rId6" Type="http://schemas.openxmlformats.org/officeDocument/2006/relationships/hyperlink" Target="https://www.healthians.com/" TargetMode="External"/><Relationship Id="rId7" Type="http://schemas.openxmlformats.org/officeDocument/2006/relationships/hyperlink" Target="https://www.dgincubation.co.jp/portfolio/healthians/" TargetMode="External"/><Relationship Id="rId8" Type="http://schemas.openxmlformats.org/officeDocument/2006/relationships/hyperlink" Target="https://www.halodoc.com/" TargetMode="External"/><Relationship Id="rId11" Type="http://schemas.openxmlformats.org/officeDocument/2006/relationships/hyperlink" Target="https://kyodonewsprwire.jp/release/201903063929" TargetMode="External"/><Relationship Id="rId10" Type="http://schemas.openxmlformats.org/officeDocument/2006/relationships/hyperlink" Target="https://www.youtube.com/channel/UC7yA3gzd_YZgb-MIuKM_rLQ" TargetMode="External"/><Relationship Id="rId13" Type="http://schemas.openxmlformats.org/officeDocument/2006/relationships/hyperlink" Target="https://www.xingren.com/" TargetMode="External"/><Relationship Id="rId12" Type="http://schemas.openxmlformats.org/officeDocument/2006/relationships/hyperlink" Target="https://www.chunyuyisheng.com/" TargetMode="External"/><Relationship Id="rId15" Type="http://schemas.openxmlformats.org/officeDocument/2006/relationships/hyperlink" Target="https://mariahealth.ph/" TargetMode="External"/><Relationship Id="rId14" Type="http://schemas.openxmlformats.org/officeDocument/2006/relationships/hyperlink" Target="https://www.docsapp.in/" TargetMode="External"/><Relationship Id="rId17" Type="http://schemas.openxmlformats.org/officeDocument/2006/relationships/drawing" Target="../drawings/drawing5.xml"/><Relationship Id="rId16" Type="http://schemas.openxmlformats.org/officeDocument/2006/relationships/hyperlink" Target="https://www.lucencedx.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babylonhealth.com/" TargetMode="External"/><Relationship Id="rId2" Type="http://schemas.openxmlformats.org/officeDocument/2006/relationships/hyperlink" Target="https://ada.com/" TargetMode="External"/><Relationship Id="rId3" Type="http://schemas.openxmlformats.org/officeDocument/2006/relationships/hyperlink" Target="https://www.crunchbase.com/organization/adahealth" TargetMode="External"/><Relationship Id="rId4" Type="http://schemas.openxmlformats.org/officeDocument/2006/relationships/hyperlink" Target="https://www.doctolib.fr/" TargetMode="External"/><Relationship Id="rId5" Type="http://schemas.openxmlformats.org/officeDocument/2006/relationships/hyperlink" Target="https://www.tytocare.com/" TargetMode="External"/><Relationship Id="rId6" Type="http://schemas.openxmlformats.org/officeDocument/2006/relationships/hyperlink" Target="https://www.crunchbase.com/organization/tyto" TargetMode="External"/><Relationship Id="rId7" Type="http://schemas.openxmlformats.org/officeDocument/2006/relationships/hyperlink" Target="https://oviva.com/uk/en/"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cbinsights.com/company/samumed" TargetMode="External"/><Relationship Id="rId2" Type="http://schemas.openxmlformats.org/officeDocument/2006/relationships/hyperlink" Target="https://www.cbinsights.com/company/roivant-sciences" TargetMode="External"/><Relationship Id="rId3" Type="http://schemas.openxmlformats.org/officeDocument/2006/relationships/hyperlink" Target="https://www.cbinsights.com/company/intarcia-therapeutics" TargetMode="External"/><Relationship Id="rId4" Type="http://schemas.openxmlformats.org/officeDocument/2006/relationships/hyperlink" Target="https://www.cbinsights.com/company/united-imaging-healthcare" TargetMode="External"/><Relationship Id="rId9" Type="http://schemas.openxmlformats.org/officeDocument/2006/relationships/hyperlink" Target="https://www.cbinsights.com/company/shanghai-henlius" TargetMode="External"/><Relationship Id="rId5" Type="http://schemas.openxmlformats.org/officeDocument/2006/relationships/hyperlink" Target="https://www.cbinsights.com/company/otto-bock" TargetMode="External"/><Relationship Id="rId6" Type="http://schemas.openxmlformats.org/officeDocument/2006/relationships/hyperlink" Target="https://www.cbinsights.com/company/oscar-health-insurance-co" TargetMode="External"/><Relationship Id="rId7" Type="http://schemas.openxmlformats.org/officeDocument/2006/relationships/hyperlink" Target="https://www.cbinsights.com/company/smiledirectclub" TargetMode="External"/><Relationship Id="rId8" Type="http://schemas.openxmlformats.org/officeDocument/2006/relationships/hyperlink" Target="https://www.cbinsights.com/company/tempus" TargetMode="External"/><Relationship Id="rId31" Type="http://schemas.openxmlformats.org/officeDocument/2006/relationships/drawing" Target="../drawings/drawing9.xml"/><Relationship Id="rId30" Type="http://schemas.openxmlformats.org/officeDocument/2006/relationships/hyperlink" Target="https://www.cbinsights.com/company/hims" TargetMode="External"/><Relationship Id="rId20" Type="http://schemas.openxmlformats.org/officeDocument/2006/relationships/hyperlink" Target="https://www.cbinsights.com/company/doctolib" TargetMode="External"/><Relationship Id="rId22" Type="http://schemas.openxmlformats.org/officeDocument/2006/relationships/hyperlink" Target="https://www.cbinsights.com/company/mindmaze" TargetMode="External"/><Relationship Id="rId21" Type="http://schemas.openxmlformats.org/officeDocument/2006/relationships/hyperlink" Target="https://www.cbinsights.com/company/proteus-digital-health" TargetMode="External"/><Relationship Id="rId24" Type="http://schemas.openxmlformats.org/officeDocument/2006/relationships/hyperlink" Target="https://www.cbinsights.com/company/dxy" TargetMode="External"/><Relationship Id="rId23" Type="http://schemas.openxmlformats.org/officeDocument/2006/relationships/hyperlink" Target="https://www.cbinsights.com/company/ginkgo-bioworks" TargetMode="External"/><Relationship Id="rId26" Type="http://schemas.openxmlformats.org/officeDocument/2006/relationships/hyperlink" Target="https://www.cbinsights.com/company/medlinker" TargetMode="External"/><Relationship Id="rId25" Type="http://schemas.openxmlformats.org/officeDocument/2006/relationships/hyperlink" Target="https://www.cbinsights.com/company/goodrx" TargetMode="External"/><Relationship Id="rId28" Type="http://schemas.openxmlformats.org/officeDocument/2006/relationships/hyperlink" Target="https://www.cbinsights.com/company/linkdoc-technology" TargetMode="External"/><Relationship Id="rId27" Type="http://schemas.openxmlformats.org/officeDocument/2006/relationships/hyperlink" Target="https://www.cbinsights.com/company/one-medical-group" TargetMode="External"/><Relationship Id="rId29" Type="http://schemas.openxmlformats.org/officeDocument/2006/relationships/hyperlink" Target="https://www.cbinsights.com/company/10x-technologies" TargetMode="External"/><Relationship Id="rId11" Type="http://schemas.openxmlformats.org/officeDocument/2006/relationships/hyperlink" Target="https://www.cbinsights.com/company/grail" TargetMode="External"/><Relationship Id="rId10" Type="http://schemas.openxmlformats.org/officeDocument/2006/relationships/hyperlink" Target="https://www.cbinsights.com/company/23andme" TargetMode="External"/><Relationship Id="rId13" Type="http://schemas.openxmlformats.org/officeDocument/2006/relationships/hyperlink" Target="https://www.cbinsights.com/company/devoted-health" TargetMode="External"/><Relationship Id="rId12" Type="http://schemas.openxmlformats.org/officeDocument/2006/relationships/hyperlink" Target="https://www.cbinsights.com/company/zocdoc" TargetMode="External"/><Relationship Id="rId15" Type="http://schemas.openxmlformats.org/officeDocument/2006/relationships/hyperlink" Target="https://www.cbinsights.com/company/ganlee-pharmaceuticals" TargetMode="External"/><Relationship Id="rId14" Type="http://schemas.openxmlformats.org/officeDocument/2006/relationships/hyperlink" Target="https://www.cbinsights.com/company/curevac" TargetMode="External"/><Relationship Id="rId17" Type="http://schemas.openxmlformats.org/officeDocument/2006/relationships/hyperlink" Target="https://www.cbinsights.com/company/guahaohangzhoutechnology-co-ltd" TargetMode="External"/><Relationship Id="rId16" Type="http://schemas.openxmlformats.org/officeDocument/2006/relationships/hyperlink" Target="https://www.cbinsights.com/company/oxford-nanopore-technologies" TargetMode="External"/><Relationship Id="rId19" Type="http://schemas.openxmlformats.org/officeDocument/2006/relationships/hyperlink" Target="https://www.cbinsights.com/company/heartflow" TargetMode="External"/><Relationship Id="rId18" Type="http://schemas.openxmlformats.org/officeDocument/2006/relationships/hyperlink" Target="https://www.cbinsights.com/company/clover-health"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mediva.co.jp/" TargetMode="External"/><Relationship Id="rId3" Type="http://schemas.openxmlformats.org/officeDocument/2006/relationships/hyperlink" Target="https://mediva.co.jp/" TargetMode="External"/><Relationship Id="rId4" Type="http://schemas.openxmlformats.org/officeDocument/2006/relationships/hyperlink" Target="https://www.ghc-j.com/" TargetMode="External"/><Relationship Id="rId9" Type="http://schemas.openxmlformats.org/officeDocument/2006/relationships/hyperlink" Target="https://www.funaisoken.co.jp/industry_theme/hospital" TargetMode="External"/><Relationship Id="rId5" Type="http://schemas.openxmlformats.org/officeDocument/2006/relationships/hyperlink" Target="https://www.ghc-j.com/" TargetMode="External"/><Relationship Id="rId6" Type="http://schemas.openxmlformats.org/officeDocument/2006/relationships/hyperlink" Target="https://www.iryoken.co.jp/hospital" TargetMode="External"/><Relationship Id="rId7" Type="http://schemas.openxmlformats.org/officeDocument/2006/relationships/hyperlink" Target="https://www.iryoken.co.jp/hospital" TargetMode="External"/><Relationship Id="rId8" Type="http://schemas.openxmlformats.org/officeDocument/2006/relationships/hyperlink" Target="https://www.funaisoken.co.jp/" TargetMode="External"/><Relationship Id="rId11" Type="http://schemas.openxmlformats.org/officeDocument/2006/relationships/hyperlink" Target="https://drsprime.com/" TargetMode="External"/><Relationship Id="rId10" Type="http://schemas.openxmlformats.org/officeDocument/2006/relationships/hyperlink" Target="https://drsprime.com/" TargetMode="External"/><Relationship Id="rId13" Type="http://schemas.openxmlformats.org/officeDocument/2006/relationships/hyperlink" Target="https://www.tokai-corp.com/hospital/" TargetMode="External"/><Relationship Id="rId12" Type="http://schemas.openxmlformats.org/officeDocument/2006/relationships/hyperlink" Target="https://www.tokai-corp.com/index.html" TargetMode="External"/><Relationship Id="rId15" Type="http://schemas.openxmlformats.org/officeDocument/2006/relationships/vmlDrawing" Target="../drawings/vmlDrawing3.vml"/><Relationship Id="rId14"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30.14"/>
    <col customWidth="1" min="2" max="2" width="15.29"/>
    <col customWidth="1" min="4" max="4" width="16.86"/>
    <col customWidth="1" min="5" max="5" width="27.14"/>
    <col customWidth="1" min="6" max="6" width="12.57"/>
    <col customWidth="1" min="7" max="7" width="14.29"/>
    <col customWidth="1" min="8" max="8" width="9.29"/>
    <col customWidth="1" min="10" max="10" width="17.14"/>
    <col customWidth="1" min="11" max="11" width="14.71"/>
    <col customWidth="1" min="15" max="15" width="14.57"/>
  </cols>
  <sheetData>
    <row r="1" ht="15.75" customHeight="1">
      <c r="A1" s="1" t="s">
        <v>0</v>
      </c>
      <c r="B1" s="2" t="s">
        <v>1</v>
      </c>
      <c r="C1" s="3" t="s">
        <v>2</v>
      </c>
      <c r="D1" s="1" t="s">
        <v>3</v>
      </c>
      <c r="E1" s="2" t="s">
        <v>4</v>
      </c>
      <c r="F1" s="4" t="s">
        <v>5</v>
      </c>
      <c r="G1" s="4" t="s">
        <v>6</v>
      </c>
      <c r="H1" s="1" t="s">
        <v>7</v>
      </c>
      <c r="I1" s="2" t="s">
        <v>8</v>
      </c>
      <c r="J1" s="5" t="s">
        <v>9</v>
      </c>
      <c r="K1" s="5" t="s">
        <v>10</v>
      </c>
      <c r="L1" s="2" t="s">
        <v>11</v>
      </c>
      <c r="M1" s="1" t="s">
        <v>12</v>
      </c>
      <c r="N1" s="1" t="s">
        <v>13</v>
      </c>
      <c r="O1" s="1" t="s">
        <v>14</v>
      </c>
      <c r="P1" s="2"/>
      <c r="Q1" s="2"/>
      <c r="R1" s="2"/>
      <c r="S1" s="2"/>
      <c r="T1" s="2"/>
      <c r="U1" s="2"/>
      <c r="V1" s="2"/>
      <c r="W1" s="2"/>
      <c r="X1" s="2"/>
    </row>
    <row r="2" ht="15.75" customHeight="1">
      <c r="A2" s="1" t="s">
        <v>15</v>
      </c>
      <c r="B2" s="6">
        <v>7.010001057148E12</v>
      </c>
      <c r="C2" s="7" t="s">
        <v>16</v>
      </c>
      <c r="D2" s="1" t="s">
        <v>17</v>
      </c>
      <c r="E2" s="2" t="s">
        <v>18</v>
      </c>
      <c r="F2" s="4" t="s">
        <v>19</v>
      </c>
      <c r="G2" s="8">
        <v>1946.0</v>
      </c>
      <c r="H2" s="1" t="s">
        <v>20</v>
      </c>
      <c r="I2" s="2" t="s">
        <v>21</v>
      </c>
      <c r="J2" s="9" t="s">
        <v>22</v>
      </c>
      <c r="K2" s="5" t="s">
        <v>23</v>
      </c>
      <c r="L2" s="2" t="s">
        <v>24</v>
      </c>
      <c r="M2" s="1"/>
      <c r="N2" s="1" t="s">
        <v>25</v>
      </c>
      <c r="O2" s="10" t="s">
        <v>26</v>
      </c>
      <c r="P2" s="2"/>
      <c r="R2" s="2"/>
      <c r="S2" s="2"/>
      <c r="T2" s="2"/>
      <c r="U2" s="2"/>
      <c r="V2" s="2"/>
      <c r="W2" s="2"/>
      <c r="X2" s="2"/>
    </row>
    <row r="3" ht="15.75" customHeight="1">
      <c r="A3" s="1" t="s">
        <v>27</v>
      </c>
      <c r="B3" s="11">
        <v>2.010001005697E12</v>
      </c>
      <c r="C3" s="12" t="s">
        <v>28</v>
      </c>
      <c r="D3" s="13" t="s">
        <v>29</v>
      </c>
      <c r="E3" s="2" t="s">
        <v>30</v>
      </c>
      <c r="F3" s="4" t="s">
        <v>19</v>
      </c>
      <c r="G3" s="8">
        <v>1947.0</v>
      </c>
      <c r="H3" s="1" t="s">
        <v>31</v>
      </c>
      <c r="I3" s="2" t="s">
        <v>32</v>
      </c>
      <c r="J3" s="5" t="s">
        <v>33</v>
      </c>
      <c r="K3" s="9" t="s">
        <v>34</v>
      </c>
      <c r="L3" s="2" t="s">
        <v>24</v>
      </c>
      <c r="M3" s="1" t="s">
        <v>35</v>
      </c>
      <c r="N3" s="1"/>
      <c r="O3" s="10" t="s">
        <v>36</v>
      </c>
      <c r="P3" s="2"/>
      <c r="R3" s="2"/>
      <c r="S3" s="2"/>
      <c r="T3" s="2"/>
      <c r="U3" s="2"/>
      <c r="V3" s="2"/>
      <c r="W3" s="2"/>
      <c r="X3" s="2"/>
    </row>
    <row r="4" ht="15.75" customHeight="1">
      <c r="A4" s="13" t="s">
        <v>37</v>
      </c>
      <c r="B4" s="2">
        <v>4.290001002582E12</v>
      </c>
      <c r="C4" s="7" t="s">
        <v>38</v>
      </c>
      <c r="D4" s="1" t="s">
        <v>39</v>
      </c>
      <c r="E4" s="2" t="s">
        <v>40</v>
      </c>
      <c r="F4" s="4" t="s">
        <v>41</v>
      </c>
      <c r="G4" s="4">
        <v>1948.0</v>
      </c>
      <c r="H4" s="1" t="s">
        <v>42</v>
      </c>
      <c r="I4" s="2" t="s">
        <v>43</v>
      </c>
      <c r="J4" s="5"/>
      <c r="K4" s="14" t="s">
        <v>44</v>
      </c>
      <c r="L4" s="2" t="s">
        <v>24</v>
      </c>
      <c r="M4" s="1"/>
      <c r="N4" s="1"/>
      <c r="O4" s="10" t="s">
        <v>45</v>
      </c>
      <c r="P4" s="2"/>
      <c r="R4" s="2"/>
      <c r="S4" s="2"/>
      <c r="T4" s="2"/>
      <c r="U4" s="2"/>
      <c r="V4" s="2"/>
      <c r="W4" s="2"/>
      <c r="X4" s="2"/>
    </row>
    <row r="5" ht="15.75" customHeight="1">
      <c r="A5" s="1" t="s">
        <v>46</v>
      </c>
      <c r="B5" s="15">
        <v>8.010001061768E12</v>
      </c>
      <c r="C5" s="12" t="s">
        <v>47</v>
      </c>
      <c r="D5" s="13" t="s">
        <v>48</v>
      </c>
      <c r="E5" s="2" t="s">
        <v>49</v>
      </c>
      <c r="F5" s="4" t="s">
        <v>19</v>
      </c>
      <c r="G5" s="4">
        <v>1962.0</v>
      </c>
      <c r="H5" s="1" t="s">
        <v>50</v>
      </c>
      <c r="I5" s="2" t="s">
        <v>21</v>
      </c>
      <c r="J5" s="5"/>
      <c r="K5" s="14" t="s">
        <v>51</v>
      </c>
      <c r="L5" s="2" t="s">
        <v>52</v>
      </c>
      <c r="M5" s="1"/>
      <c r="N5" s="1"/>
      <c r="O5" s="10" t="s">
        <v>53</v>
      </c>
      <c r="P5" s="2"/>
      <c r="R5" s="2"/>
      <c r="S5" s="2"/>
      <c r="T5" s="2"/>
      <c r="U5" s="2"/>
      <c r="V5" s="2"/>
      <c r="W5" s="2"/>
      <c r="X5" s="2"/>
    </row>
    <row r="6" ht="15.75" customHeight="1">
      <c r="A6" s="1" t="s">
        <v>54</v>
      </c>
      <c r="B6" s="15">
        <v>8.120001053779E12</v>
      </c>
      <c r="C6" s="12" t="s">
        <v>55</v>
      </c>
      <c r="D6" s="1" t="s">
        <v>56</v>
      </c>
      <c r="E6" s="2" t="s">
        <v>57</v>
      </c>
      <c r="F6" s="4" t="s">
        <v>58</v>
      </c>
      <c r="G6" s="4">
        <v>1980.0</v>
      </c>
      <c r="H6" s="1" t="s">
        <v>59</v>
      </c>
      <c r="I6" s="2" t="s">
        <v>32</v>
      </c>
      <c r="J6" s="5" t="s">
        <v>60</v>
      </c>
      <c r="K6" s="14" t="s">
        <v>61</v>
      </c>
      <c r="L6" s="2" t="s">
        <v>62</v>
      </c>
      <c r="M6" s="1"/>
      <c r="N6" s="1" t="s">
        <v>63</v>
      </c>
      <c r="O6" s="10" t="s">
        <v>64</v>
      </c>
      <c r="P6" s="2"/>
      <c r="R6" s="2"/>
      <c r="S6" s="2"/>
      <c r="T6" s="2"/>
      <c r="U6" s="2"/>
      <c r="V6" s="2"/>
      <c r="W6" s="2"/>
      <c r="X6" s="2"/>
    </row>
    <row r="7" ht="15.75" customHeight="1">
      <c r="A7" s="13" t="s">
        <v>65</v>
      </c>
      <c r="B7" s="15">
        <v>9.240001012318E12</v>
      </c>
      <c r="C7" s="12" t="s">
        <v>66</v>
      </c>
      <c r="D7" s="1" t="s">
        <v>56</v>
      </c>
      <c r="E7" s="2" t="s">
        <v>67</v>
      </c>
      <c r="F7" s="4" t="s">
        <v>68</v>
      </c>
      <c r="G7" s="4">
        <v>1982.0</v>
      </c>
      <c r="H7" s="1" t="s">
        <v>69</v>
      </c>
      <c r="I7" s="2" t="s">
        <v>70</v>
      </c>
      <c r="J7" s="5" t="s">
        <v>71</v>
      </c>
      <c r="K7" s="14" t="s">
        <v>71</v>
      </c>
      <c r="L7" s="2" t="s">
        <v>62</v>
      </c>
      <c r="M7" s="1"/>
      <c r="N7" s="1"/>
      <c r="O7" s="10" t="s">
        <v>72</v>
      </c>
      <c r="P7" s="2"/>
      <c r="R7" s="2"/>
      <c r="S7" s="2"/>
      <c r="T7" s="2"/>
      <c r="U7" s="2"/>
      <c r="V7" s="2"/>
      <c r="W7" s="2"/>
      <c r="X7" s="2"/>
    </row>
    <row r="8" ht="15.75" customHeight="1">
      <c r="A8" s="1" t="s">
        <v>73</v>
      </c>
      <c r="B8" s="6">
        <v>4.010901019431E12</v>
      </c>
      <c r="C8" s="7" t="str">
        <f>HYPERLINK("https://www.svenson.co.jp/","https://www.svenson.co.jp/")</f>
        <v>https://www.svenson.co.jp/</v>
      </c>
      <c r="D8" s="13" t="s">
        <v>74</v>
      </c>
      <c r="E8" s="2" t="s">
        <v>75</v>
      </c>
      <c r="F8" s="4" t="s">
        <v>19</v>
      </c>
      <c r="G8" s="4">
        <v>1984.0</v>
      </c>
      <c r="H8" s="1" t="s">
        <v>76</v>
      </c>
      <c r="I8" s="2"/>
      <c r="J8" s="5" t="s">
        <v>77</v>
      </c>
      <c r="K8" s="14" t="s">
        <v>78</v>
      </c>
      <c r="L8" s="2" t="s">
        <v>24</v>
      </c>
      <c r="M8" s="1"/>
      <c r="N8" s="1"/>
      <c r="O8" s="10" t="s">
        <v>79</v>
      </c>
      <c r="P8" s="2"/>
      <c r="R8" s="2"/>
      <c r="S8" s="2"/>
      <c r="T8" s="2"/>
      <c r="U8" s="2"/>
      <c r="V8" s="2"/>
      <c r="W8" s="2"/>
      <c r="X8" s="2"/>
    </row>
    <row r="9" ht="15.75" customHeight="1">
      <c r="A9" s="1" t="s">
        <v>80</v>
      </c>
      <c r="B9" s="6">
        <v>9.010001102166E12</v>
      </c>
      <c r="C9" s="7" t="s">
        <v>81</v>
      </c>
      <c r="D9" s="1" t="s">
        <v>82</v>
      </c>
      <c r="E9" s="2" t="s">
        <v>83</v>
      </c>
      <c r="F9" s="4" t="s">
        <v>19</v>
      </c>
      <c r="G9" s="4">
        <v>1986.0</v>
      </c>
      <c r="H9" s="1" t="s">
        <v>84</v>
      </c>
      <c r="I9" s="2" t="s">
        <v>43</v>
      </c>
      <c r="J9" s="9"/>
      <c r="K9" s="14" t="s">
        <v>85</v>
      </c>
      <c r="L9" s="2" t="s">
        <v>52</v>
      </c>
      <c r="M9" s="16" t="s">
        <v>86</v>
      </c>
      <c r="N9" s="1"/>
      <c r="O9" s="10" t="s">
        <v>87</v>
      </c>
      <c r="P9" s="2"/>
      <c r="R9" s="2"/>
      <c r="S9" s="2"/>
      <c r="T9" s="2"/>
      <c r="U9" s="2"/>
      <c r="V9" s="2"/>
      <c r="W9" s="2"/>
      <c r="X9" s="2"/>
    </row>
    <row r="10" ht="15.75" customHeight="1">
      <c r="A10" s="1" t="s">
        <v>88</v>
      </c>
      <c r="B10" s="6">
        <v>9.013301028403E12</v>
      </c>
      <c r="C10" s="7" t="s">
        <v>89</v>
      </c>
      <c r="D10" s="1" t="s">
        <v>90</v>
      </c>
      <c r="E10" s="2" t="s">
        <v>91</v>
      </c>
      <c r="F10" s="4" t="s">
        <v>19</v>
      </c>
      <c r="G10" s="4">
        <v>1988.0</v>
      </c>
      <c r="H10" s="1" t="s">
        <v>92</v>
      </c>
      <c r="I10" s="2" t="s">
        <v>93</v>
      </c>
      <c r="J10" s="5" t="s">
        <v>94</v>
      </c>
      <c r="K10" s="14" t="s">
        <v>95</v>
      </c>
      <c r="L10" s="2" t="s">
        <v>24</v>
      </c>
      <c r="M10" s="1"/>
      <c r="N10" s="1"/>
      <c r="O10" s="10" t="s">
        <v>96</v>
      </c>
      <c r="P10" s="2"/>
      <c r="R10" s="2"/>
      <c r="S10" s="2"/>
      <c r="T10" s="2"/>
      <c r="U10" s="2"/>
      <c r="V10" s="2"/>
      <c r="W10" s="2"/>
      <c r="X10" s="2"/>
    </row>
    <row r="11" ht="15.75" customHeight="1">
      <c r="A11" s="1" t="s">
        <v>97</v>
      </c>
      <c r="B11" s="6">
        <v>2.010001023468E12</v>
      </c>
      <c r="C11" s="7" t="str">
        <f>HYPERLINK("http://www.t-pec.co.jp/","http://www.t-pec.co.jp/")</f>
        <v>http://www.t-pec.co.jp/</v>
      </c>
      <c r="D11" s="1" t="s">
        <v>56</v>
      </c>
      <c r="E11" s="2" t="s">
        <v>98</v>
      </c>
      <c r="F11" s="4" t="s">
        <v>19</v>
      </c>
      <c r="G11" s="4">
        <v>1989.0</v>
      </c>
      <c r="H11" s="1" t="s">
        <v>99</v>
      </c>
      <c r="I11" s="2" t="s">
        <v>21</v>
      </c>
      <c r="J11" s="5" t="s">
        <v>100</v>
      </c>
      <c r="K11" s="14" t="s">
        <v>100</v>
      </c>
      <c r="L11" s="2" t="s">
        <v>24</v>
      </c>
      <c r="M11" s="1"/>
      <c r="N11" s="1"/>
      <c r="O11" s="10" t="s">
        <v>101</v>
      </c>
      <c r="P11" s="2"/>
      <c r="R11" s="2"/>
      <c r="S11" s="2"/>
      <c r="T11" s="2"/>
      <c r="U11" s="2"/>
      <c r="V11" s="2"/>
      <c r="W11" s="2"/>
      <c r="X11" s="2"/>
    </row>
    <row r="12" ht="15.75" customHeight="1">
      <c r="A12" s="1" t="s">
        <v>102</v>
      </c>
      <c r="B12" s="6">
        <v>5.011001044633E12</v>
      </c>
      <c r="C12" s="7" t="s">
        <v>103</v>
      </c>
      <c r="D12" s="13" t="s">
        <v>74</v>
      </c>
      <c r="E12" s="2" t="s">
        <v>104</v>
      </c>
      <c r="F12" s="4" t="s">
        <v>19</v>
      </c>
      <c r="G12" s="4">
        <v>1990.0</v>
      </c>
      <c r="H12" s="1" t="s">
        <v>105</v>
      </c>
      <c r="I12" s="2" t="s">
        <v>43</v>
      </c>
      <c r="J12" s="5" t="s">
        <v>106</v>
      </c>
      <c r="K12" s="14" t="s">
        <v>106</v>
      </c>
      <c r="L12" s="2" t="s">
        <v>24</v>
      </c>
      <c r="M12" s="1"/>
      <c r="N12" s="1"/>
      <c r="O12" s="10" t="s">
        <v>107</v>
      </c>
      <c r="P12" s="2"/>
      <c r="R12" s="2"/>
      <c r="S12" s="2"/>
      <c r="T12" s="2"/>
      <c r="U12" s="2"/>
      <c r="V12" s="2"/>
      <c r="W12" s="2"/>
      <c r="X12" s="2"/>
    </row>
    <row r="13" ht="15.75" customHeight="1">
      <c r="A13" s="1" t="s">
        <v>108</v>
      </c>
      <c r="B13" s="6">
        <v>8.010001000899E12</v>
      </c>
      <c r="C13" s="7" t="s">
        <v>109</v>
      </c>
      <c r="D13" s="1" t="s">
        <v>56</v>
      </c>
      <c r="E13" s="2" t="s">
        <v>110</v>
      </c>
      <c r="F13" s="4" t="s">
        <v>19</v>
      </c>
      <c r="G13" s="4">
        <v>1991.0</v>
      </c>
      <c r="H13" s="1" t="s">
        <v>111</v>
      </c>
      <c r="I13" s="2"/>
      <c r="J13" s="5" t="s">
        <v>112</v>
      </c>
      <c r="K13" s="14" t="s">
        <v>112</v>
      </c>
      <c r="L13" s="2" t="s">
        <v>24</v>
      </c>
      <c r="M13" s="1"/>
      <c r="N13" s="1"/>
      <c r="O13" s="10" t="s">
        <v>113</v>
      </c>
      <c r="P13" s="2"/>
      <c r="R13" s="2"/>
      <c r="S13" s="2"/>
      <c r="T13" s="2"/>
      <c r="U13" s="2"/>
      <c r="V13" s="2"/>
      <c r="W13" s="2"/>
      <c r="X13" s="2"/>
    </row>
    <row r="14" ht="15.75" customHeight="1">
      <c r="A14" s="1" t="s">
        <v>114</v>
      </c>
      <c r="B14" s="6">
        <v>7.700150008344E12</v>
      </c>
      <c r="C14" s="7" t="s">
        <v>115</v>
      </c>
      <c r="D14" s="1" t="s">
        <v>116</v>
      </c>
      <c r="E14" s="2" t="s">
        <v>117</v>
      </c>
      <c r="F14" s="4" t="s">
        <v>19</v>
      </c>
      <c r="G14" s="4">
        <v>1992.0</v>
      </c>
      <c r="H14" s="1" t="s">
        <v>118</v>
      </c>
      <c r="I14" s="2" t="s">
        <v>43</v>
      </c>
      <c r="J14" s="5"/>
      <c r="K14" s="14" t="s">
        <v>119</v>
      </c>
      <c r="L14" s="2" t="s">
        <v>62</v>
      </c>
      <c r="M14" s="1"/>
      <c r="N14" s="17" t="s">
        <v>120</v>
      </c>
      <c r="O14" s="10" t="s">
        <v>121</v>
      </c>
      <c r="P14" s="2"/>
      <c r="R14" s="2"/>
      <c r="S14" s="2"/>
      <c r="T14" s="2"/>
      <c r="U14" s="2"/>
      <c r="V14" s="2"/>
      <c r="W14" s="2"/>
      <c r="X14" s="2"/>
    </row>
    <row r="15" ht="15.75" customHeight="1">
      <c r="A15" s="1" t="s">
        <v>86</v>
      </c>
      <c r="B15" s="18">
        <v>8.010401059998E12</v>
      </c>
      <c r="C15" s="7" t="s">
        <v>122</v>
      </c>
      <c r="D15" s="1" t="s">
        <v>56</v>
      </c>
      <c r="E15" s="2" t="s">
        <v>123</v>
      </c>
      <c r="F15" s="4" t="s">
        <v>19</v>
      </c>
      <c r="G15" s="4">
        <v>1993.0</v>
      </c>
      <c r="H15" s="1" t="s">
        <v>124</v>
      </c>
      <c r="I15" s="2" t="s">
        <v>32</v>
      </c>
      <c r="J15" s="5" t="s">
        <v>125</v>
      </c>
      <c r="K15" s="14" t="s">
        <v>85</v>
      </c>
      <c r="L15" s="2" t="s">
        <v>62</v>
      </c>
      <c r="M15" s="1"/>
      <c r="N15" s="19" t="s">
        <v>126</v>
      </c>
      <c r="O15" s="10" t="s">
        <v>127</v>
      </c>
      <c r="P15" s="2"/>
      <c r="R15" s="2"/>
      <c r="S15" s="2"/>
      <c r="T15" s="2"/>
      <c r="U15" s="2"/>
      <c r="V15" s="2"/>
      <c r="W15" s="2"/>
      <c r="X15" s="2"/>
    </row>
    <row r="16" ht="15.75" customHeight="1">
      <c r="A16" s="1" t="s">
        <v>128</v>
      </c>
      <c r="B16" s="15">
        <v>1.011001035966E12</v>
      </c>
      <c r="C16" s="12" t="s">
        <v>129</v>
      </c>
      <c r="D16" s="1" t="s">
        <v>56</v>
      </c>
      <c r="E16" s="2" t="s">
        <v>130</v>
      </c>
      <c r="F16" s="4" t="s">
        <v>19</v>
      </c>
      <c r="G16" s="4">
        <v>1994.0</v>
      </c>
      <c r="H16" s="1" t="s">
        <v>131</v>
      </c>
      <c r="I16" s="2"/>
      <c r="J16" s="5" t="s">
        <v>132</v>
      </c>
      <c r="K16" s="14" t="s">
        <v>133</v>
      </c>
      <c r="L16" s="2" t="s">
        <v>24</v>
      </c>
      <c r="M16" s="1"/>
      <c r="N16" s="1"/>
      <c r="O16" s="10" t="s">
        <v>134</v>
      </c>
      <c r="P16" s="2"/>
      <c r="R16" s="2"/>
      <c r="S16" s="2"/>
      <c r="T16" s="2"/>
      <c r="U16" s="2"/>
      <c r="V16" s="2"/>
      <c r="W16" s="2"/>
      <c r="X16" s="2"/>
    </row>
    <row r="17" ht="15.75" customHeight="1">
      <c r="A17" s="1" t="s">
        <v>135</v>
      </c>
      <c r="B17" s="6">
        <v>7.010401088511E12</v>
      </c>
      <c r="C17" s="7" t="str">
        <f>HYPERLINK("https://www.doctor-net.co.jp/","https://www.doctor-net.co.jp/")</f>
        <v>https://www.doctor-net.co.jp/</v>
      </c>
      <c r="D17" s="1" t="s">
        <v>136</v>
      </c>
      <c r="E17" s="2" t="s">
        <v>137</v>
      </c>
      <c r="F17" s="4" t="s">
        <v>19</v>
      </c>
      <c r="G17" s="4">
        <v>1995.0</v>
      </c>
      <c r="H17" s="1" t="s">
        <v>138</v>
      </c>
      <c r="I17" s="2" t="s">
        <v>21</v>
      </c>
      <c r="J17" s="9" t="s">
        <v>139</v>
      </c>
      <c r="K17" s="14" t="s">
        <v>140</v>
      </c>
      <c r="L17" s="2" t="s">
        <v>52</v>
      </c>
      <c r="M17" s="1" t="s">
        <v>141</v>
      </c>
      <c r="N17" s="1"/>
      <c r="O17" s="10" t="s">
        <v>142</v>
      </c>
      <c r="P17" s="2"/>
      <c r="R17" s="2"/>
      <c r="S17" s="2"/>
      <c r="T17" s="2"/>
      <c r="U17" s="2"/>
      <c r="V17" s="2"/>
      <c r="W17" s="2"/>
      <c r="X17" s="2"/>
    </row>
    <row r="18" ht="15.75" customHeight="1">
      <c r="A18" s="1" t="s">
        <v>143</v>
      </c>
      <c r="B18" s="6">
        <v>4.140001030292E12</v>
      </c>
      <c r="C18" s="7" t="str">
        <f>HYPERLINK("http://www.mti.co.jp/","http://www.mti.co.jp/")</f>
        <v>http://www.mti.co.jp/</v>
      </c>
      <c r="D18" s="1" t="s">
        <v>144</v>
      </c>
      <c r="E18" s="2" t="s">
        <v>145</v>
      </c>
      <c r="F18" s="4" t="s">
        <v>19</v>
      </c>
      <c r="G18" s="4">
        <v>1996.0</v>
      </c>
      <c r="H18" s="1" t="s">
        <v>146</v>
      </c>
      <c r="I18" s="2" t="s">
        <v>147</v>
      </c>
      <c r="J18" s="5" t="s">
        <v>148</v>
      </c>
      <c r="K18" s="14" t="s">
        <v>148</v>
      </c>
      <c r="L18" s="2" t="s">
        <v>62</v>
      </c>
      <c r="M18" s="1"/>
      <c r="N18" s="1" t="s">
        <v>149</v>
      </c>
      <c r="O18" s="10" t="s">
        <v>150</v>
      </c>
      <c r="P18" s="2"/>
      <c r="R18" s="2"/>
      <c r="S18" s="2"/>
      <c r="T18" s="2"/>
      <c r="U18" s="2"/>
      <c r="V18" s="2"/>
      <c r="W18" s="2"/>
      <c r="X18" s="2"/>
    </row>
    <row r="19" ht="15.75" customHeight="1">
      <c r="A19" s="1" t="s">
        <v>151</v>
      </c>
      <c r="B19" s="6">
        <v>8.011001045281E12</v>
      </c>
      <c r="C19" s="7" t="str">
        <f>HYPERLINK("https://bs.benefit-one.co.jp/BE-ONE/","https://bs.benefit-one.co.jp/BE-ONE/")</f>
        <v>https://bs.benefit-one.co.jp/BE-ONE/</v>
      </c>
      <c r="D19" s="1" t="s">
        <v>152</v>
      </c>
      <c r="E19" s="2" t="s">
        <v>153</v>
      </c>
      <c r="F19" s="4" t="s">
        <v>19</v>
      </c>
      <c r="G19" s="4">
        <v>1996.0</v>
      </c>
      <c r="H19" s="1" t="s">
        <v>154</v>
      </c>
      <c r="I19" s="2" t="s">
        <v>21</v>
      </c>
      <c r="J19" s="5" t="s">
        <v>155</v>
      </c>
      <c r="K19" s="14" t="s">
        <v>156</v>
      </c>
      <c r="L19" s="2" t="s">
        <v>62</v>
      </c>
      <c r="M19" s="1"/>
      <c r="N19" s="1"/>
      <c r="O19" s="10" t="s">
        <v>157</v>
      </c>
      <c r="P19" s="2"/>
      <c r="R19" s="2"/>
      <c r="S19" s="2"/>
      <c r="T19" s="2"/>
      <c r="U19" s="2"/>
      <c r="V19" s="2"/>
      <c r="W19" s="2"/>
      <c r="X19" s="2"/>
    </row>
    <row r="20" ht="15.75" customHeight="1">
      <c r="A20" s="1" t="s">
        <v>158</v>
      </c>
      <c r="B20" s="6">
        <v>4.01000107549E12</v>
      </c>
      <c r="C20" s="7" t="s">
        <v>159</v>
      </c>
      <c r="D20" s="1" t="s">
        <v>56</v>
      </c>
      <c r="E20" s="2" t="s">
        <v>160</v>
      </c>
      <c r="F20" s="4" t="s">
        <v>19</v>
      </c>
      <c r="G20" s="4">
        <v>1996.0</v>
      </c>
      <c r="H20" s="1" t="s">
        <v>161</v>
      </c>
      <c r="I20" s="2" t="s">
        <v>21</v>
      </c>
      <c r="J20" s="5"/>
      <c r="K20" s="20" t="s">
        <v>162</v>
      </c>
      <c r="L20" s="2" t="s">
        <v>62</v>
      </c>
      <c r="M20" s="1"/>
      <c r="N20" s="1"/>
      <c r="O20" s="10" t="s">
        <v>163</v>
      </c>
      <c r="P20" s="2"/>
      <c r="R20" s="2"/>
      <c r="S20" s="2"/>
      <c r="T20" s="2"/>
      <c r="U20" s="2"/>
      <c r="V20" s="2"/>
      <c r="W20" s="2"/>
      <c r="X20" s="2"/>
    </row>
    <row r="21" ht="15.75" customHeight="1">
      <c r="A21" s="1" t="s">
        <v>164</v>
      </c>
      <c r="B21" s="6">
        <v>2.49000100984E12</v>
      </c>
      <c r="C21" s="7" t="str">
        <f>HYPERLINK("http://www.pasys.co.jp/","http://www.pasys.co.jp/")</f>
        <v>http://www.pasys.co.jp/</v>
      </c>
      <c r="D21" s="1" t="s">
        <v>82</v>
      </c>
      <c r="E21" s="2" t="s">
        <v>165</v>
      </c>
      <c r="F21" s="4" t="s">
        <v>166</v>
      </c>
      <c r="G21" s="4">
        <v>1997.0</v>
      </c>
      <c r="H21" s="1" t="s">
        <v>167</v>
      </c>
      <c r="I21" s="2" t="s">
        <v>32</v>
      </c>
      <c r="J21" s="5" t="s">
        <v>168</v>
      </c>
      <c r="K21" s="14" t="s">
        <v>168</v>
      </c>
      <c r="L21" s="2" t="s">
        <v>24</v>
      </c>
      <c r="M21" s="1"/>
      <c r="N21" s="1"/>
      <c r="O21" s="10" t="s">
        <v>169</v>
      </c>
      <c r="P21" s="2"/>
      <c r="R21" s="2"/>
      <c r="S21" s="2"/>
      <c r="T21" s="2"/>
      <c r="U21" s="2"/>
      <c r="V21" s="2"/>
      <c r="W21" s="2"/>
      <c r="X21" s="2"/>
    </row>
    <row r="22" ht="15.75" customHeight="1">
      <c r="A22" s="1" t="s">
        <v>170</v>
      </c>
      <c r="B22" s="6">
        <v>3.0100010904E12</v>
      </c>
      <c r="C22" s="7" t="s">
        <v>171</v>
      </c>
      <c r="D22" s="1" t="s">
        <v>172</v>
      </c>
      <c r="E22" s="2" t="s">
        <v>173</v>
      </c>
      <c r="F22" s="4" t="s">
        <v>19</v>
      </c>
      <c r="G22" s="4">
        <v>1998.0</v>
      </c>
      <c r="H22" s="1" t="s">
        <v>174</v>
      </c>
      <c r="I22" s="2"/>
      <c r="J22" s="5" t="s">
        <v>175</v>
      </c>
      <c r="K22" s="14" t="s">
        <v>175</v>
      </c>
      <c r="L22" s="2" t="s">
        <v>24</v>
      </c>
      <c r="M22" s="1"/>
      <c r="N22" s="1"/>
      <c r="O22" s="10" t="s">
        <v>176</v>
      </c>
      <c r="P22" s="2"/>
      <c r="R22" s="2"/>
      <c r="S22" s="2"/>
      <c r="T22" s="2"/>
      <c r="U22" s="2"/>
      <c r="V22" s="2"/>
      <c r="W22" s="2"/>
      <c r="X22" s="2"/>
    </row>
    <row r="23" ht="15.75" customHeight="1">
      <c r="A23" s="1" t="s">
        <v>177</v>
      </c>
      <c r="B23" s="15">
        <v>6.430001025872E12</v>
      </c>
      <c r="C23" s="12" t="s">
        <v>178</v>
      </c>
      <c r="D23" s="1" t="s">
        <v>179</v>
      </c>
      <c r="E23" s="2" t="s">
        <v>180</v>
      </c>
      <c r="F23" s="4" t="s">
        <v>181</v>
      </c>
      <c r="G23" s="4">
        <v>1999.0</v>
      </c>
      <c r="H23" s="1" t="s">
        <v>182</v>
      </c>
      <c r="I23" s="2" t="s">
        <v>147</v>
      </c>
      <c r="J23" s="5" t="s">
        <v>183</v>
      </c>
      <c r="K23" s="5" t="s">
        <v>183</v>
      </c>
      <c r="L23" s="2" t="s">
        <v>62</v>
      </c>
      <c r="M23" s="1"/>
      <c r="N23" s="1"/>
      <c r="O23" s="10" t="s">
        <v>184</v>
      </c>
      <c r="P23" s="2"/>
      <c r="R23" s="2"/>
      <c r="S23" s="2"/>
      <c r="T23" s="2"/>
      <c r="U23" s="2"/>
      <c r="V23" s="2"/>
      <c r="W23" s="2"/>
      <c r="X23" s="2"/>
    </row>
    <row r="24" ht="15.75" customHeight="1">
      <c r="A24" s="1" t="s">
        <v>185</v>
      </c>
      <c r="B24" s="6">
        <v>5.011101043683E12</v>
      </c>
      <c r="C24" s="7" t="s">
        <v>186</v>
      </c>
      <c r="D24" s="1" t="s">
        <v>187</v>
      </c>
      <c r="E24" s="2" t="s">
        <v>188</v>
      </c>
      <c r="F24" s="4" t="s">
        <v>19</v>
      </c>
      <c r="G24" s="4">
        <v>2000.0</v>
      </c>
      <c r="H24" s="1" t="s">
        <v>189</v>
      </c>
      <c r="I24" s="2" t="s">
        <v>147</v>
      </c>
      <c r="J24" s="5" t="s">
        <v>190</v>
      </c>
      <c r="K24" s="14" t="s">
        <v>190</v>
      </c>
      <c r="L24" s="2" t="s">
        <v>24</v>
      </c>
      <c r="M24" s="1"/>
      <c r="N24" s="1"/>
      <c r="O24" s="10" t="s">
        <v>191</v>
      </c>
      <c r="P24" s="2"/>
      <c r="R24" s="2"/>
      <c r="S24" s="2"/>
      <c r="T24" s="2"/>
      <c r="U24" s="2"/>
      <c r="V24" s="2"/>
      <c r="W24" s="2"/>
      <c r="X24" s="2"/>
    </row>
    <row r="25" ht="15.75" customHeight="1">
      <c r="A25" s="1" t="s">
        <v>192</v>
      </c>
      <c r="B25" s="6">
        <v>1.010401063016E12</v>
      </c>
      <c r="C25" s="7" t="s">
        <v>193</v>
      </c>
      <c r="D25" s="21" t="s">
        <v>56</v>
      </c>
      <c r="E25" s="2" t="s">
        <v>194</v>
      </c>
      <c r="F25" s="4" t="s">
        <v>19</v>
      </c>
      <c r="G25" s="4">
        <v>2000.0</v>
      </c>
      <c r="H25" s="1" t="s">
        <v>195</v>
      </c>
      <c r="I25" s="2" t="s">
        <v>32</v>
      </c>
      <c r="J25" s="5" t="s">
        <v>196</v>
      </c>
      <c r="K25" s="5" t="s">
        <v>196</v>
      </c>
      <c r="L25" s="2" t="s">
        <v>62</v>
      </c>
      <c r="M25" s="1"/>
      <c r="N25" s="1" t="s">
        <v>197</v>
      </c>
      <c r="O25" s="10" t="s">
        <v>198</v>
      </c>
      <c r="P25" s="2"/>
      <c r="R25" s="2"/>
      <c r="S25" s="2"/>
      <c r="T25" s="2"/>
      <c r="U25" s="2"/>
      <c r="V25" s="2"/>
      <c r="W25" s="2"/>
      <c r="X25" s="2"/>
    </row>
    <row r="26" ht="15.75" customHeight="1">
      <c r="A26" s="1" t="s">
        <v>199</v>
      </c>
      <c r="B26" s="6">
        <v>3.011101059533E12</v>
      </c>
      <c r="C26" s="7" t="s">
        <v>200</v>
      </c>
      <c r="D26" s="21" t="s">
        <v>56</v>
      </c>
      <c r="E26" s="2" t="s">
        <v>201</v>
      </c>
      <c r="F26" s="4" t="s">
        <v>19</v>
      </c>
      <c r="G26" s="4">
        <v>2000.0</v>
      </c>
      <c r="H26" s="1" t="s">
        <v>202</v>
      </c>
      <c r="I26" s="2" t="s">
        <v>21</v>
      </c>
      <c r="J26" s="5" t="s">
        <v>203</v>
      </c>
      <c r="K26" s="14" t="s">
        <v>204</v>
      </c>
      <c r="L26" s="2" t="s">
        <v>62</v>
      </c>
      <c r="M26" s="1"/>
      <c r="N26" s="1"/>
      <c r="O26" s="10" t="s">
        <v>205</v>
      </c>
      <c r="P26" s="2"/>
      <c r="R26" s="2"/>
      <c r="S26" s="2"/>
      <c r="T26" s="2"/>
      <c r="U26" s="2"/>
      <c r="V26" s="2"/>
      <c r="W26" s="2"/>
      <c r="X26" s="2"/>
    </row>
    <row r="27" ht="15.75" customHeight="1">
      <c r="A27" s="1" t="s">
        <v>206</v>
      </c>
      <c r="B27" s="6">
        <v>7.011001063607E12</v>
      </c>
      <c r="C27" s="7" t="str">
        <f>HYPERLINK("https://medirom.co.jp/","https://medirom.co.jp/")</f>
        <v>https://medirom.co.jp/</v>
      </c>
      <c r="D27" s="1" t="s">
        <v>56</v>
      </c>
      <c r="E27" s="2" t="s">
        <v>207</v>
      </c>
      <c r="F27" s="4" t="s">
        <v>19</v>
      </c>
      <c r="G27" s="4">
        <v>2000.0</v>
      </c>
      <c r="H27" s="1" t="s">
        <v>208</v>
      </c>
      <c r="I27" s="2" t="s">
        <v>32</v>
      </c>
      <c r="J27" s="5" t="s">
        <v>209</v>
      </c>
      <c r="K27" s="5" t="s">
        <v>209</v>
      </c>
      <c r="L27" s="2" t="s">
        <v>24</v>
      </c>
      <c r="M27" s="1"/>
      <c r="N27" s="1"/>
      <c r="O27" s="10" t="s">
        <v>210</v>
      </c>
      <c r="P27" s="2"/>
      <c r="R27" s="2"/>
      <c r="S27" s="2"/>
      <c r="T27" s="2"/>
      <c r="U27" s="2"/>
      <c r="V27" s="2"/>
      <c r="W27" s="2"/>
      <c r="X27" s="2"/>
    </row>
    <row r="28" ht="15.75" customHeight="1">
      <c r="A28" s="1" t="s">
        <v>211</v>
      </c>
      <c r="B28" s="15">
        <v>4.300001001392E12</v>
      </c>
      <c r="C28" s="12" t="s">
        <v>212</v>
      </c>
      <c r="D28" s="1" t="s">
        <v>56</v>
      </c>
      <c r="E28" s="2" t="s">
        <v>213</v>
      </c>
      <c r="F28" s="4" t="s">
        <v>19</v>
      </c>
      <c r="G28" s="4">
        <v>2000.0</v>
      </c>
      <c r="H28" s="1" t="s">
        <v>214</v>
      </c>
      <c r="I28" s="2" t="s">
        <v>32</v>
      </c>
      <c r="J28" s="5" t="s">
        <v>215</v>
      </c>
      <c r="K28" s="5" t="s">
        <v>215</v>
      </c>
      <c r="L28" s="2" t="s">
        <v>62</v>
      </c>
      <c r="M28" s="1"/>
      <c r="N28" s="22" t="s">
        <v>216</v>
      </c>
      <c r="O28" s="10" t="s">
        <v>217</v>
      </c>
      <c r="P28" s="2"/>
      <c r="R28" s="2"/>
      <c r="S28" s="2"/>
      <c r="T28" s="2"/>
      <c r="U28" s="2"/>
      <c r="V28" s="2"/>
      <c r="W28" s="2"/>
      <c r="X28" s="2"/>
    </row>
    <row r="29" ht="15.75" customHeight="1">
      <c r="A29" s="1" t="s">
        <v>218</v>
      </c>
      <c r="B29" s="6">
        <v>5.010401081856E12</v>
      </c>
      <c r="C29" s="7" t="s">
        <v>219</v>
      </c>
      <c r="D29" s="21" t="s">
        <v>56</v>
      </c>
      <c r="E29" s="2" t="s">
        <v>220</v>
      </c>
      <c r="F29" s="4" t="s">
        <v>19</v>
      </c>
      <c r="G29" s="4">
        <v>2000.0</v>
      </c>
      <c r="H29" s="1" t="s">
        <v>221</v>
      </c>
      <c r="I29" s="2"/>
      <c r="J29" s="5" t="s">
        <v>222</v>
      </c>
      <c r="K29" s="14" t="s">
        <v>223</v>
      </c>
      <c r="L29" s="2" t="s">
        <v>24</v>
      </c>
      <c r="M29" s="1"/>
      <c r="N29" s="1"/>
      <c r="O29" s="10" t="s">
        <v>224</v>
      </c>
      <c r="P29" s="2"/>
      <c r="R29" s="2"/>
      <c r="S29" s="2"/>
      <c r="T29" s="2"/>
      <c r="U29" s="2"/>
      <c r="V29" s="2"/>
      <c r="W29" s="2"/>
      <c r="X29" s="2"/>
    </row>
    <row r="30" ht="15.75" customHeight="1">
      <c r="A30" s="1" t="s">
        <v>225</v>
      </c>
      <c r="B30" s="6">
        <v>4.240001015754E12</v>
      </c>
      <c r="C30" s="7" t="s">
        <v>226</v>
      </c>
      <c r="D30" s="1" t="s">
        <v>56</v>
      </c>
      <c r="E30" s="2" t="s">
        <v>227</v>
      </c>
      <c r="F30" s="4" t="s">
        <v>68</v>
      </c>
      <c r="G30" s="4">
        <v>2000.0</v>
      </c>
      <c r="H30" s="1" t="s">
        <v>228</v>
      </c>
      <c r="I30" s="2" t="s">
        <v>21</v>
      </c>
      <c r="J30" s="5" t="s">
        <v>229</v>
      </c>
      <c r="K30" s="14" t="s">
        <v>230</v>
      </c>
      <c r="L30" s="2" t="s">
        <v>24</v>
      </c>
      <c r="M30" s="1"/>
      <c r="N30" s="1"/>
      <c r="O30" s="10" t="s">
        <v>231</v>
      </c>
      <c r="P30" s="2"/>
      <c r="R30" s="2"/>
      <c r="S30" s="2"/>
      <c r="T30" s="2"/>
      <c r="U30" s="2"/>
      <c r="V30" s="2"/>
      <c r="W30" s="2"/>
      <c r="X30" s="2"/>
    </row>
    <row r="31" ht="15.75" customHeight="1">
      <c r="A31" s="1" t="s">
        <v>232</v>
      </c>
      <c r="B31" s="6">
        <v>3.01090101473E12</v>
      </c>
      <c r="C31" s="7" t="s">
        <v>233</v>
      </c>
      <c r="D31" s="1" t="s">
        <v>152</v>
      </c>
      <c r="E31" s="2" t="s">
        <v>234</v>
      </c>
      <c r="F31" s="4" t="s">
        <v>19</v>
      </c>
      <c r="G31" s="4">
        <v>2000.0</v>
      </c>
      <c r="H31" s="1" t="s">
        <v>235</v>
      </c>
      <c r="I31" s="2" t="s">
        <v>70</v>
      </c>
      <c r="J31" s="5" t="s">
        <v>236</v>
      </c>
      <c r="K31" s="5" t="s">
        <v>236</v>
      </c>
      <c r="L31" s="2" t="s">
        <v>24</v>
      </c>
      <c r="M31" s="1"/>
      <c r="N31" s="1"/>
      <c r="O31" s="10" t="s">
        <v>237</v>
      </c>
      <c r="P31" s="2"/>
      <c r="R31" s="2"/>
      <c r="S31" s="2"/>
      <c r="T31" s="2"/>
      <c r="U31" s="2"/>
      <c r="V31" s="2"/>
      <c r="W31" s="2"/>
      <c r="X31" s="2"/>
    </row>
    <row r="32" ht="15.75" customHeight="1">
      <c r="A32" s="1" t="s">
        <v>238</v>
      </c>
      <c r="B32" s="6">
        <v>9.010701012714E12</v>
      </c>
      <c r="C32" s="7" t="str">
        <f>HYPERLINK("https://www.kanamic.net/","https://www.kanamic.net/")</f>
        <v>https://www.kanamic.net/</v>
      </c>
      <c r="D32" s="1" t="s">
        <v>239</v>
      </c>
      <c r="E32" s="2" t="s">
        <v>240</v>
      </c>
      <c r="F32" s="4" t="s">
        <v>19</v>
      </c>
      <c r="G32" s="4">
        <v>2000.0</v>
      </c>
      <c r="H32" s="1" t="s">
        <v>241</v>
      </c>
      <c r="I32" s="2"/>
      <c r="J32" s="5" t="s">
        <v>242</v>
      </c>
      <c r="K32" s="14" t="s">
        <v>243</v>
      </c>
      <c r="L32" s="2" t="s">
        <v>62</v>
      </c>
      <c r="M32" s="1"/>
      <c r="N32" s="1"/>
      <c r="O32" s="10" t="s">
        <v>244</v>
      </c>
      <c r="P32" s="2"/>
      <c r="R32" s="2"/>
      <c r="S32" s="2"/>
      <c r="T32" s="2"/>
      <c r="U32" s="2"/>
      <c r="V32" s="2"/>
      <c r="W32" s="2"/>
      <c r="X32" s="2"/>
    </row>
    <row r="33" ht="15.75" customHeight="1">
      <c r="A33" s="1" t="s">
        <v>245</v>
      </c>
      <c r="B33" s="6">
        <v>5.290001020542E12</v>
      </c>
      <c r="C33" s="7" t="s">
        <v>246</v>
      </c>
      <c r="D33" s="1" t="s">
        <v>247</v>
      </c>
      <c r="E33" s="2" t="s">
        <v>248</v>
      </c>
      <c r="F33" s="4" t="s">
        <v>41</v>
      </c>
      <c r="G33" s="4">
        <v>2000.0</v>
      </c>
      <c r="H33" s="1" t="s">
        <v>249</v>
      </c>
      <c r="I33" s="2" t="s">
        <v>147</v>
      </c>
      <c r="J33" s="5" t="s">
        <v>250</v>
      </c>
      <c r="K33" s="14" t="s">
        <v>251</v>
      </c>
      <c r="L33" s="2" t="s">
        <v>24</v>
      </c>
      <c r="M33" s="1"/>
      <c r="N33" s="1"/>
      <c r="O33" s="10" t="s">
        <v>252</v>
      </c>
      <c r="P33" s="2"/>
      <c r="R33" s="2"/>
      <c r="S33" s="2"/>
      <c r="T33" s="2"/>
      <c r="U33" s="2"/>
      <c r="V33" s="2"/>
      <c r="W33" s="2"/>
      <c r="X33" s="2"/>
    </row>
    <row r="34" ht="15.75" customHeight="1">
      <c r="A34" s="1" t="s">
        <v>253</v>
      </c>
      <c r="B34" s="15">
        <v>8.120001099797E12</v>
      </c>
      <c r="C34" s="23" t="s">
        <v>254</v>
      </c>
      <c r="D34" s="21" t="s">
        <v>82</v>
      </c>
      <c r="E34" s="2" t="s">
        <v>255</v>
      </c>
      <c r="F34" s="4" t="s">
        <v>58</v>
      </c>
      <c r="G34" s="4">
        <v>2001.0</v>
      </c>
      <c r="H34" s="1" t="s">
        <v>256</v>
      </c>
      <c r="I34" s="2"/>
      <c r="J34" s="5" t="s">
        <v>257</v>
      </c>
      <c r="K34" s="5" t="s">
        <v>257</v>
      </c>
      <c r="L34" s="2" t="s">
        <v>24</v>
      </c>
      <c r="M34" s="1"/>
      <c r="N34" s="1"/>
      <c r="O34" s="10" t="s">
        <v>258</v>
      </c>
      <c r="P34" s="2"/>
      <c r="R34" s="2"/>
      <c r="S34" s="2"/>
      <c r="T34" s="2"/>
      <c r="U34" s="2"/>
      <c r="V34" s="2"/>
      <c r="W34" s="2"/>
      <c r="X34" s="2"/>
    </row>
    <row r="35" ht="15.75" customHeight="1">
      <c r="A35" s="1" t="s">
        <v>259</v>
      </c>
      <c r="B35" s="6">
        <v>1.011001072836E12</v>
      </c>
      <c r="C35" s="7" t="str">
        <f>HYPERLINK("https://www.allm.net/team/","https://www.allm.net/team/")</f>
        <v>https://www.allm.net/team/</v>
      </c>
      <c r="D35" s="1" t="s">
        <v>56</v>
      </c>
      <c r="E35" s="2" t="s">
        <v>260</v>
      </c>
      <c r="F35" s="4" t="s">
        <v>19</v>
      </c>
      <c r="G35" s="4">
        <v>2001.0</v>
      </c>
      <c r="H35" s="1" t="s">
        <v>261</v>
      </c>
      <c r="I35" s="2" t="s">
        <v>70</v>
      </c>
      <c r="J35" s="5" t="s">
        <v>262</v>
      </c>
      <c r="K35" s="5" t="s">
        <v>262</v>
      </c>
      <c r="L35" s="2" t="s">
        <v>24</v>
      </c>
      <c r="M35" s="1"/>
      <c r="N35" s="1" t="s">
        <v>263</v>
      </c>
      <c r="O35" s="10" t="s">
        <v>264</v>
      </c>
      <c r="P35" s="2"/>
      <c r="R35" s="2"/>
      <c r="S35" s="2"/>
      <c r="T35" s="2"/>
      <c r="U35" s="2"/>
      <c r="V35" s="2"/>
      <c r="W35" s="2"/>
      <c r="X35" s="2"/>
    </row>
    <row r="36" ht="15.75" customHeight="1">
      <c r="A36" s="1" t="s">
        <v>265</v>
      </c>
      <c r="B36" s="6">
        <v>1.011001036766E12</v>
      </c>
      <c r="C36" s="7" t="str">
        <f>HYPERLINK("https://www.medical-net.com/","https://www.medical-net.com/")</f>
        <v>https://www.medical-net.com/</v>
      </c>
      <c r="D36" s="1" t="s">
        <v>266</v>
      </c>
      <c r="E36" s="2" t="s">
        <v>267</v>
      </c>
      <c r="F36" s="4" t="s">
        <v>19</v>
      </c>
      <c r="G36" s="4">
        <v>2001.0</v>
      </c>
      <c r="H36" s="1" t="s">
        <v>268</v>
      </c>
      <c r="I36" s="2" t="s">
        <v>21</v>
      </c>
      <c r="J36" s="5" t="s">
        <v>269</v>
      </c>
      <c r="K36" s="14" t="s">
        <v>270</v>
      </c>
      <c r="L36" s="2" t="s">
        <v>62</v>
      </c>
      <c r="M36" s="1" t="s">
        <v>192</v>
      </c>
      <c r="N36" s="1"/>
      <c r="O36" s="10" t="s">
        <v>271</v>
      </c>
      <c r="P36" s="2"/>
      <c r="R36" s="2"/>
      <c r="S36" s="2"/>
      <c r="T36" s="2"/>
      <c r="U36" s="2"/>
      <c r="V36" s="2"/>
      <c r="W36" s="2"/>
      <c r="X36" s="2"/>
    </row>
    <row r="37" ht="15.75" customHeight="1">
      <c r="A37" s="1" t="s">
        <v>272</v>
      </c>
      <c r="B37" s="15">
        <v>7.01100103695E12</v>
      </c>
      <c r="C37" s="12" t="s">
        <v>273</v>
      </c>
      <c r="D37" s="1" t="s">
        <v>152</v>
      </c>
      <c r="E37" s="2" t="s">
        <v>274</v>
      </c>
      <c r="F37" s="4" t="s">
        <v>19</v>
      </c>
      <c r="G37" s="4">
        <v>2001.0</v>
      </c>
      <c r="H37" s="1" t="s">
        <v>275</v>
      </c>
      <c r="I37" s="2" t="s">
        <v>32</v>
      </c>
      <c r="J37" s="5" t="s">
        <v>276</v>
      </c>
      <c r="K37" s="5" t="s">
        <v>276</v>
      </c>
      <c r="L37" s="2" t="s">
        <v>62</v>
      </c>
      <c r="M37" s="1"/>
      <c r="N37" s="1" t="s">
        <v>277</v>
      </c>
      <c r="O37" s="10" t="s">
        <v>278</v>
      </c>
      <c r="P37" s="2"/>
      <c r="R37" s="2"/>
      <c r="S37" s="2"/>
      <c r="T37" s="2"/>
      <c r="U37" s="2"/>
      <c r="V37" s="2"/>
      <c r="W37" s="2"/>
      <c r="X37" s="2"/>
    </row>
    <row r="38" ht="15.75" customHeight="1">
      <c r="A38" s="1" t="s">
        <v>279</v>
      </c>
      <c r="B38" s="6">
        <v>2.010001088949E12</v>
      </c>
      <c r="C38" s="7" t="str">
        <f>HYPERLINK("http://iif.jp/","http://iif.jp/")</f>
        <v>http://iif.jp/</v>
      </c>
      <c r="D38" s="1" t="s">
        <v>239</v>
      </c>
      <c r="E38" s="2" t="s">
        <v>280</v>
      </c>
      <c r="F38" s="4" t="s">
        <v>19</v>
      </c>
      <c r="G38" s="4">
        <v>2001.0</v>
      </c>
      <c r="H38" s="1" t="s">
        <v>281</v>
      </c>
      <c r="I38" s="2" t="s">
        <v>32</v>
      </c>
      <c r="J38" s="5" t="s">
        <v>282</v>
      </c>
      <c r="K38" s="5" t="s">
        <v>282</v>
      </c>
      <c r="L38" s="2" t="s">
        <v>62</v>
      </c>
      <c r="M38" s="1"/>
      <c r="N38" s="1"/>
      <c r="O38" s="10" t="s">
        <v>283</v>
      </c>
      <c r="P38" s="2"/>
      <c r="R38" s="2"/>
      <c r="S38" s="2"/>
      <c r="T38" s="2"/>
      <c r="U38" s="2"/>
      <c r="V38" s="2"/>
      <c r="W38" s="2"/>
      <c r="X38" s="2"/>
    </row>
    <row r="39" ht="15.75" customHeight="1">
      <c r="A39" s="1" t="s">
        <v>284</v>
      </c>
      <c r="B39" s="6">
        <v>7.011001045654E12</v>
      </c>
      <c r="C39" s="7" t="str">
        <f>HYPERLINK("https://isana.net/","https://isana.net/")</f>
        <v>https://isana.net/</v>
      </c>
      <c r="D39" s="1" t="s">
        <v>136</v>
      </c>
      <c r="E39" s="2" t="s">
        <v>285</v>
      </c>
      <c r="F39" s="4" t="s">
        <v>19</v>
      </c>
      <c r="G39" s="4">
        <v>2001.0</v>
      </c>
      <c r="H39" s="1" t="s">
        <v>286</v>
      </c>
      <c r="I39" s="2" t="s">
        <v>147</v>
      </c>
      <c r="J39" s="5" t="s">
        <v>287</v>
      </c>
      <c r="K39" s="14" t="s">
        <v>287</v>
      </c>
      <c r="L39" s="2" t="s">
        <v>24</v>
      </c>
      <c r="M39" s="1"/>
      <c r="N39" s="1"/>
      <c r="O39" s="10" t="s">
        <v>288</v>
      </c>
      <c r="P39" s="2"/>
      <c r="R39" s="2"/>
      <c r="S39" s="2"/>
      <c r="T39" s="2"/>
      <c r="U39" s="2"/>
      <c r="V39" s="2"/>
      <c r="W39" s="2"/>
      <c r="X39" s="2"/>
    </row>
    <row r="40" ht="15.75" customHeight="1">
      <c r="A40" s="1" t="s">
        <v>289</v>
      </c>
      <c r="B40" s="6">
        <v>6.010403010531E12</v>
      </c>
      <c r="C40" s="7" t="s">
        <v>290</v>
      </c>
      <c r="D40" s="1" t="s">
        <v>56</v>
      </c>
      <c r="E40" s="2" t="s">
        <v>291</v>
      </c>
      <c r="F40" s="4" t="s">
        <v>19</v>
      </c>
      <c r="G40" s="4">
        <v>2002.0</v>
      </c>
      <c r="H40" s="1" t="s">
        <v>292</v>
      </c>
      <c r="I40" s="2" t="s">
        <v>21</v>
      </c>
      <c r="J40" s="5" t="s">
        <v>293</v>
      </c>
      <c r="K40" s="14" t="s">
        <v>294</v>
      </c>
      <c r="L40" s="2" t="s">
        <v>52</v>
      </c>
      <c r="M40" s="1" t="s">
        <v>295</v>
      </c>
      <c r="N40" s="1" t="s">
        <v>296</v>
      </c>
      <c r="O40" s="10" t="s">
        <v>297</v>
      </c>
      <c r="P40" s="2"/>
      <c r="R40" s="2"/>
      <c r="S40" s="2"/>
      <c r="T40" s="2"/>
      <c r="U40" s="2"/>
      <c r="V40" s="2"/>
      <c r="W40" s="2"/>
      <c r="X40" s="2"/>
    </row>
    <row r="41" ht="15.75" customHeight="1">
      <c r="A41" s="1" t="s">
        <v>298</v>
      </c>
      <c r="B41" s="15">
        <v>4.01320101666E12</v>
      </c>
      <c r="C41" s="12" t="s">
        <v>299</v>
      </c>
      <c r="D41" s="1" t="s">
        <v>90</v>
      </c>
      <c r="E41" s="2" t="s">
        <v>300</v>
      </c>
      <c r="F41" s="4" t="s">
        <v>19</v>
      </c>
      <c r="G41" s="4">
        <v>2002.0</v>
      </c>
      <c r="H41" s="1" t="s">
        <v>301</v>
      </c>
      <c r="I41" s="2"/>
      <c r="J41" s="5" t="s">
        <v>302</v>
      </c>
      <c r="K41" s="14" t="s">
        <v>303</v>
      </c>
      <c r="L41" s="2" t="s">
        <v>52</v>
      </c>
      <c r="M41" s="1" t="s">
        <v>304</v>
      </c>
      <c r="N41" s="1"/>
      <c r="O41" s="10" t="s">
        <v>305</v>
      </c>
      <c r="P41" s="2"/>
      <c r="R41" s="2"/>
      <c r="S41" s="2"/>
      <c r="T41" s="2"/>
      <c r="U41" s="2"/>
      <c r="V41" s="2"/>
      <c r="W41" s="2"/>
      <c r="X41" s="2"/>
    </row>
    <row r="42" ht="15.75" customHeight="1">
      <c r="A42" s="1" t="s">
        <v>306</v>
      </c>
      <c r="B42" s="6">
        <v>4.010401078275E12</v>
      </c>
      <c r="C42" s="7" t="str">
        <f>HYPERLINK("https://corporate.iticket.co.jp/","https://corporate.iticket.co.jp/")</f>
        <v>https://corporate.iticket.co.jp/</v>
      </c>
      <c r="D42" s="1" t="s">
        <v>56</v>
      </c>
      <c r="E42" s="2" t="s">
        <v>307</v>
      </c>
      <c r="F42" s="4" t="s">
        <v>19</v>
      </c>
      <c r="G42" s="4">
        <v>2002.0</v>
      </c>
      <c r="H42" s="1" t="s">
        <v>308</v>
      </c>
      <c r="I42" s="2" t="s">
        <v>147</v>
      </c>
      <c r="J42" s="5" t="s">
        <v>309</v>
      </c>
      <c r="K42" s="5" t="s">
        <v>309</v>
      </c>
      <c r="L42" s="2" t="s">
        <v>52</v>
      </c>
      <c r="M42" s="1" t="s">
        <v>192</v>
      </c>
      <c r="N42" s="1"/>
      <c r="O42" s="10" t="s">
        <v>310</v>
      </c>
      <c r="P42" s="2"/>
      <c r="R42" s="2"/>
      <c r="S42" s="2"/>
      <c r="T42" s="2"/>
      <c r="U42" s="2"/>
      <c r="V42" s="2"/>
      <c r="W42" s="2"/>
      <c r="X42" s="2"/>
    </row>
    <row r="43" ht="15.75" customHeight="1">
      <c r="A43" s="1" t="s">
        <v>311</v>
      </c>
      <c r="B43" s="15">
        <v>1.011001042302E12</v>
      </c>
      <c r="C43" s="7" t="str">
        <f>HYPERLINK("http://www.fitnessclub.jp/","http://www.fitnessclub.jp/")</f>
        <v>http://www.fitnessclub.jp/</v>
      </c>
      <c r="D43" s="13" t="s">
        <v>74</v>
      </c>
      <c r="E43" s="2" t="s">
        <v>312</v>
      </c>
      <c r="F43" s="4" t="s">
        <v>19</v>
      </c>
      <c r="G43" s="4">
        <v>2002.0</v>
      </c>
      <c r="H43" s="1" t="s">
        <v>313</v>
      </c>
      <c r="I43" s="2"/>
      <c r="J43" s="5" t="s">
        <v>314</v>
      </c>
      <c r="K43" s="14" t="s">
        <v>314</v>
      </c>
      <c r="L43" s="2" t="s">
        <v>24</v>
      </c>
      <c r="M43" s="1"/>
      <c r="N43" s="1"/>
      <c r="O43" s="10" t="s">
        <v>315</v>
      </c>
      <c r="P43" s="2"/>
      <c r="R43" s="2"/>
      <c r="S43" s="2"/>
      <c r="T43" s="2"/>
      <c r="U43" s="2"/>
      <c r="V43" s="2"/>
      <c r="W43" s="2"/>
      <c r="X43" s="2"/>
    </row>
    <row r="44" ht="15.75" customHeight="1">
      <c r="A44" s="1" t="s">
        <v>316</v>
      </c>
      <c r="B44" s="6">
        <v>7.011101039597E12</v>
      </c>
      <c r="C44" s="7" t="s">
        <v>317</v>
      </c>
      <c r="D44" s="1" t="s">
        <v>152</v>
      </c>
      <c r="E44" s="2" t="s">
        <v>318</v>
      </c>
      <c r="F44" s="4" t="s">
        <v>19</v>
      </c>
      <c r="G44" s="4">
        <v>2002.0</v>
      </c>
      <c r="H44" s="1" t="s">
        <v>319</v>
      </c>
      <c r="I44" s="2" t="s">
        <v>70</v>
      </c>
      <c r="J44" s="5" t="s">
        <v>320</v>
      </c>
      <c r="K44" s="14" t="s">
        <v>321</v>
      </c>
      <c r="L44" s="2" t="s">
        <v>24</v>
      </c>
      <c r="M44" s="1"/>
      <c r="N44" s="1"/>
      <c r="O44" s="10" t="s">
        <v>322</v>
      </c>
      <c r="P44" s="2"/>
      <c r="R44" s="2"/>
      <c r="S44" s="2"/>
      <c r="T44" s="2"/>
      <c r="U44" s="2"/>
      <c r="V44" s="2"/>
      <c r="W44" s="2"/>
      <c r="X44" s="2"/>
    </row>
    <row r="45" ht="15.75" customHeight="1">
      <c r="A45" s="1" t="s">
        <v>323</v>
      </c>
      <c r="B45" s="6">
        <v>7.01000108764E12</v>
      </c>
      <c r="C45" s="7" t="s">
        <v>324</v>
      </c>
      <c r="D45" s="1" t="s">
        <v>56</v>
      </c>
      <c r="E45" s="2" t="s">
        <v>325</v>
      </c>
      <c r="F45" s="4" t="s">
        <v>19</v>
      </c>
      <c r="G45" s="4">
        <v>2003.0</v>
      </c>
      <c r="H45" s="1" t="s">
        <v>326</v>
      </c>
      <c r="I45" s="2" t="s">
        <v>21</v>
      </c>
      <c r="J45" s="5" t="s">
        <v>327</v>
      </c>
      <c r="K45" s="5" t="s">
        <v>327</v>
      </c>
      <c r="L45" s="2" t="s">
        <v>62</v>
      </c>
      <c r="M45" s="1"/>
      <c r="N45" s="1"/>
      <c r="O45" s="10" t="s">
        <v>328</v>
      </c>
      <c r="P45" s="2"/>
      <c r="R45" s="2"/>
      <c r="S45" s="2"/>
      <c r="T45" s="2"/>
      <c r="U45" s="2"/>
      <c r="V45" s="2"/>
      <c r="W45" s="2"/>
      <c r="X45" s="2"/>
    </row>
    <row r="46" ht="15.75" customHeight="1">
      <c r="A46" s="1" t="s">
        <v>329</v>
      </c>
      <c r="B46" s="6">
        <v>2.010001134117E12</v>
      </c>
      <c r="C46" s="7" t="str">
        <f>HYPERLINK("https://www.bm-sms.co.jp/","https://www.bm-sms.co.jp/")</f>
        <v>https://www.bm-sms.co.jp/</v>
      </c>
      <c r="D46" s="1" t="s">
        <v>239</v>
      </c>
      <c r="E46" s="2" t="s">
        <v>330</v>
      </c>
      <c r="F46" s="4" t="s">
        <v>19</v>
      </c>
      <c r="G46" s="4">
        <v>2003.0</v>
      </c>
      <c r="H46" s="1" t="s">
        <v>331</v>
      </c>
      <c r="I46" s="2" t="s">
        <v>21</v>
      </c>
      <c r="J46" s="5" t="s">
        <v>332</v>
      </c>
      <c r="K46" s="14" t="s">
        <v>333</v>
      </c>
      <c r="L46" s="2" t="s">
        <v>62</v>
      </c>
      <c r="M46" s="1"/>
      <c r="N46" s="1"/>
      <c r="O46" s="10" t="s">
        <v>334</v>
      </c>
      <c r="P46" s="2"/>
      <c r="R46" s="2"/>
      <c r="S46" s="2"/>
      <c r="T46" s="2"/>
      <c r="U46" s="2"/>
      <c r="V46" s="2"/>
      <c r="W46" s="2"/>
      <c r="X46" s="2"/>
    </row>
    <row r="47" ht="15.75" customHeight="1">
      <c r="A47" s="1" t="s">
        <v>335</v>
      </c>
      <c r="B47" s="6">
        <v>9.01110104283E12</v>
      </c>
      <c r="C47" s="7" t="str">
        <f>HYPERLINK("https://www.mstage-corp.jp/","https://www.mstage-corp.jp/")</f>
        <v>https://www.mstage-corp.jp/</v>
      </c>
      <c r="D47" s="1" t="s">
        <v>152</v>
      </c>
      <c r="E47" s="2" t="s">
        <v>336</v>
      </c>
      <c r="F47" s="4" t="s">
        <v>19</v>
      </c>
      <c r="G47" s="4">
        <v>2003.0</v>
      </c>
      <c r="H47" s="1" t="s">
        <v>337</v>
      </c>
      <c r="I47" s="2" t="s">
        <v>93</v>
      </c>
      <c r="J47" s="5" t="s">
        <v>338</v>
      </c>
      <c r="K47" s="14" t="s">
        <v>338</v>
      </c>
      <c r="L47" s="2" t="s">
        <v>24</v>
      </c>
      <c r="M47" s="1"/>
      <c r="N47" s="1"/>
      <c r="O47" s="10" t="s">
        <v>339</v>
      </c>
      <c r="P47" s="2"/>
      <c r="R47" s="2"/>
      <c r="S47" s="2"/>
      <c r="T47" s="2"/>
      <c r="U47" s="2"/>
      <c r="V47" s="2"/>
      <c r="W47" s="2"/>
      <c r="X47" s="2"/>
    </row>
    <row r="48" ht="15.75" customHeight="1">
      <c r="A48" s="1" t="s">
        <v>340</v>
      </c>
      <c r="B48" s="6">
        <v>4.013201010548E12</v>
      </c>
      <c r="C48" s="7" t="s">
        <v>341</v>
      </c>
      <c r="D48" s="1" t="s">
        <v>56</v>
      </c>
      <c r="E48" s="2" t="s">
        <v>342</v>
      </c>
      <c r="F48" s="4" t="s">
        <v>19</v>
      </c>
      <c r="G48" s="4">
        <v>2003.0</v>
      </c>
      <c r="H48" s="1" t="s">
        <v>343</v>
      </c>
      <c r="I48" s="2" t="s">
        <v>147</v>
      </c>
      <c r="J48" s="5" t="s">
        <v>344</v>
      </c>
      <c r="K48" s="14" t="s">
        <v>345</v>
      </c>
      <c r="L48" s="2" t="s">
        <v>24</v>
      </c>
      <c r="M48" s="1"/>
      <c r="N48" s="1"/>
      <c r="O48" s="10" t="s">
        <v>346</v>
      </c>
      <c r="P48" s="2"/>
      <c r="R48" s="2"/>
      <c r="S48" s="2"/>
      <c r="T48" s="2"/>
      <c r="U48" s="2"/>
      <c r="V48" s="2"/>
      <c r="W48" s="2"/>
      <c r="X48" s="2"/>
    </row>
    <row r="49" ht="15.75" customHeight="1">
      <c r="A49" s="1" t="s">
        <v>347</v>
      </c>
      <c r="B49" s="6">
        <v>6.011001138401E12</v>
      </c>
      <c r="C49" s="7" t="str">
        <f>HYPERLINK("http://www.e-aic.co.jp/","http://www.e-aic.co.jp/")</f>
        <v>http://www.e-aic.co.jp/</v>
      </c>
      <c r="D49" s="1" t="s">
        <v>266</v>
      </c>
      <c r="E49" s="2" t="s">
        <v>348</v>
      </c>
      <c r="F49" s="4" t="s">
        <v>19</v>
      </c>
      <c r="G49" s="4">
        <v>2003.0</v>
      </c>
      <c r="H49" s="1" t="s">
        <v>349</v>
      </c>
      <c r="I49" s="2"/>
      <c r="J49" s="5" t="s">
        <v>350</v>
      </c>
      <c r="K49" s="14" t="s">
        <v>351</v>
      </c>
      <c r="L49" s="2" t="s">
        <v>24</v>
      </c>
      <c r="M49" s="1"/>
      <c r="N49" s="1"/>
      <c r="O49" s="10" t="s">
        <v>352</v>
      </c>
      <c r="P49" s="2"/>
      <c r="R49" s="2"/>
      <c r="S49" s="2"/>
      <c r="T49" s="2"/>
      <c r="U49" s="2"/>
      <c r="V49" s="2"/>
      <c r="W49" s="2"/>
      <c r="X49" s="2"/>
    </row>
    <row r="50" ht="15.75" customHeight="1">
      <c r="A50" s="1" t="s">
        <v>353</v>
      </c>
      <c r="B50" s="6">
        <v>1.020001121908E12</v>
      </c>
      <c r="C50" s="7" t="str">
        <f>HYPERLINK("http://www.d-clue.com/","http://www.d-clue.com/")</f>
        <v>http://www.d-clue.com/</v>
      </c>
      <c r="D50" s="1" t="s">
        <v>56</v>
      </c>
      <c r="E50" s="2" t="s">
        <v>354</v>
      </c>
      <c r="F50" s="4" t="s">
        <v>355</v>
      </c>
      <c r="G50" s="4">
        <v>2003.0</v>
      </c>
      <c r="H50" s="1" t="s">
        <v>356</v>
      </c>
      <c r="I50" s="2" t="s">
        <v>70</v>
      </c>
      <c r="J50" s="5" t="s">
        <v>357</v>
      </c>
      <c r="K50" s="5" t="s">
        <v>357</v>
      </c>
      <c r="L50" s="2" t="s">
        <v>24</v>
      </c>
      <c r="M50" s="1"/>
      <c r="N50" s="1"/>
      <c r="O50" s="10" t="s">
        <v>358</v>
      </c>
      <c r="P50" s="2"/>
      <c r="R50" s="2"/>
      <c r="S50" s="2"/>
      <c r="T50" s="2"/>
      <c r="U50" s="2"/>
      <c r="V50" s="2"/>
      <c r="W50" s="2"/>
      <c r="X50" s="2"/>
    </row>
    <row r="51" ht="15.75" customHeight="1">
      <c r="A51" s="24" t="s">
        <v>359</v>
      </c>
      <c r="B51" s="6">
        <v>8.013201010701E12</v>
      </c>
      <c r="C51" s="25" t="s">
        <v>360</v>
      </c>
      <c r="D51" s="13" t="s">
        <v>361</v>
      </c>
      <c r="E51" s="2" t="s">
        <v>362</v>
      </c>
      <c r="F51" s="4" t="s">
        <v>19</v>
      </c>
      <c r="G51" s="4">
        <v>2003.0</v>
      </c>
      <c r="H51" s="1" t="s">
        <v>363</v>
      </c>
      <c r="I51" s="2" t="s">
        <v>21</v>
      </c>
      <c r="J51" s="5" t="s">
        <v>364</v>
      </c>
      <c r="K51" s="5" t="s">
        <v>364</v>
      </c>
      <c r="L51" s="2" t="s">
        <v>24</v>
      </c>
      <c r="M51" s="1"/>
      <c r="N51" s="1"/>
      <c r="O51" s="10" t="s">
        <v>365</v>
      </c>
      <c r="P51" s="2"/>
      <c r="R51" s="2"/>
      <c r="S51" s="2"/>
      <c r="T51" s="2"/>
      <c r="U51" s="2"/>
      <c r="V51" s="2"/>
      <c r="W51" s="2"/>
      <c r="X51" s="2"/>
    </row>
    <row r="52" ht="15.75" customHeight="1">
      <c r="A52" s="1" t="s">
        <v>366</v>
      </c>
      <c r="B52" s="6">
        <v>8.011001073431E12</v>
      </c>
      <c r="C52" s="7" t="str">
        <f>HYPERLINK("https://medpeer.co.jp/","https://medpeer.co.jp/")</f>
        <v>https://medpeer.co.jp/</v>
      </c>
      <c r="D52" s="1" t="s">
        <v>56</v>
      </c>
      <c r="E52" s="2" t="s">
        <v>367</v>
      </c>
      <c r="F52" s="4" t="s">
        <v>19</v>
      </c>
      <c r="G52" s="4">
        <v>2004.0</v>
      </c>
      <c r="H52" s="1" t="s">
        <v>368</v>
      </c>
      <c r="I52" s="2" t="s">
        <v>21</v>
      </c>
      <c r="J52" s="5" t="s">
        <v>369</v>
      </c>
      <c r="K52" s="5" t="s">
        <v>369</v>
      </c>
      <c r="L52" s="2" t="s">
        <v>62</v>
      </c>
      <c r="M52" s="1"/>
      <c r="N52" s="1" t="s">
        <v>370</v>
      </c>
      <c r="O52" s="10" t="s">
        <v>371</v>
      </c>
      <c r="P52" s="2"/>
      <c r="R52" s="2"/>
      <c r="S52" s="2"/>
      <c r="T52" s="2"/>
      <c r="U52" s="2"/>
      <c r="V52" s="2"/>
      <c r="W52" s="2"/>
      <c r="X52" s="2"/>
    </row>
    <row r="53" ht="15.75" customHeight="1">
      <c r="A53" s="26" t="s">
        <v>372</v>
      </c>
      <c r="B53" s="15">
        <v>7.420001005379E12</v>
      </c>
      <c r="C53" s="7" t="s">
        <v>373</v>
      </c>
      <c r="D53" s="1" t="s">
        <v>179</v>
      </c>
      <c r="E53" s="2" t="s">
        <v>374</v>
      </c>
      <c r="F53" s="4" t="s">
        <v>19</v>
      </c>
      <c r="G53" s="4">
        <v>2004.0</v>
      </c>
      <c r="H53" s="1" t="s">
        <v>375</v>
      </c>
      <c r="I53" s="2" t="s">
        <v>21</v>
      </c>
      <c r="J53" s="5" t="s">
        <v>376</v>
      </c>
      <c r="K53" s="5" t="s">
        <v>376</v>
      </c>
      <c r="L53" s="2" t="s">
        <v>24</v>
      </c>
      <c r="M53" s="1"/>
      <c r="N53" s="1"/>
      <c r="O53" s="10" t="s">
        <v>377</v>
      </c>
      <c r="P53" s="2"/>
      <c r="R53" s="2"/>
      <c r="S53" s="2"/>
      <c r="T53" s="2"/>
      <c r="U53" s="2"/>
      <c r="V53" s="2"/>
      <c r="W53" s="2"/>
      <c r="X53" s="2"/>
    </row>
    <row r="54" ht="15.75" customHeight="1">
      <c r="A54" s="1" t="s">
        <v>378</v>
      </c>
      <c r="B54" s="6">
        <v>8.050001016537E12</v>
      </c>
      <c r="C54" s="7" t="str">
        <f>HYPERLINK("https://www.cyberdyne.jp/","https://www.cyberdyne.jp/")</f>
        <v>https://www.cyberdyne.jp/</v>
      </c>
      <c r="D54" s="1" t="s">
        <v>39</v>
      </c>
      <c r="E54" s="2" t="s">
        <v>379</v>
      </c>
      <c r="F54" s="4" t="s">
        <v>380</v>
      </c>
      <c r="G54" s="4">
        <v>2004.0</v>
      </c>
      <c r="H54" s="1" t="s">
        <v>381</v>
      </c>
      <c r="I54" s="2" t="s">
        <v>70</v>
      </c>
      <c r="J54" s="5" t="s">
        <v>382</v>
      </c>
      <c r="K54" s="5" t="s">
        <v>382</v>
      </c>
      <c r="L54" s="2" t="s">
        <v>62</v>
      </c>
      <c r="M54" s="1"/>
      <c r="N54" s="1"/>
      <c r="O54" s="10" t="s">
        <v>383</v>
      </c>
      <c r="P54" s="2"/>
      <c r="R54" s="2"/>
      <c r="S54" s="2"/>
      <c r="T54" s="2"/>
      <c r="U54" s="2"/>
      <c r="V54" s="2"/>
      <c r="W54" s="2"/>
      <c r="X54" s="2"/>
    </row>
    <row r="55" ht="15.75" customHeight="1">
      <c r="A55" s="1" t="s">
        <v>384</v>
      </c>
      <c r="B55" s="15">
        <v>4.011101055432E12</v>
      </c>
      <c r="C55" s="12" t="s">
        <v>385</v>
      </c>
      <c r="D55" s="1" t="s">
        <v>56</v>
      </c>
      <c r="E55" s="2" t="s">
        <v>386</v>
      </c>
      <c r="F55" s="4" t="s">
        <v>19</v>
      </c>
      <c r="G55" s="4">
        <v>2004.0</v>
      </c>
      <c r="H55" s="1" t="s">
        <v>387</v>
      </c>
      <c r="I55" s="2"/>
      <c r="J55" s="5" t="s">
        <v>388</v>
      </c>
      <c r="K55" s="14" t="s">
        <v>388</v>
      </c>
      <c r="L55" s="2" t="s">
        <v>24</v>
      </c>
      <c r="M55" s="1"/>
      <c r="N55" s="1"/>
      <c r="O55" s="10" t="s">
        <v>389</v>
      </c>
      <c r="P55" s="2"/>
      <c r="R55" s="2"/>
      <c r="S55" s="2"/>
      <c r="T55" s="2"/>
      <c r="U55" s="2"/>
      <c r="V55" s="2"/>
      <c r="W55" s="2"/>
      <c r="X55" s="2"/>
    </row>
    <row r="56" ht="15.75" customHeight="1">
      <c r="A56" s="1" t="s">
        <v>390</v>
      </c>
      <c r="B56" s="6">
        <v>4.011001044411E12</v>
      </c>
      <c r="C56" s="7" t="str">
        <f>HYPERLINK("http://goodcycle.net/","http://goodcycle.net/")</f>
        <v>http://goodcycle.net/</v>
      </c>
      <c r="D56" s="1" t="s">
        <v>179</v>
      </c>
      <c r="E56" s="2" t="s">
        <v>391</v>
      </c>
      <c r="F56" s="4" t="s">
        <v>19</v>
      </c>
      <c r="G56" s="4">
        <v>2004.0</v>
      </c>
      <c r="H56" s="1" t="s">
        <v>392</v>
      </c>
      <c r="I56" s="2" t="s">
        <v>70</v>
      </c>
      <c r="J56" s="5" t="s">
        <v>393</v>
      </c>
      <c r="K56" s="5" t="s">
        <v>393</v>
      </c>
      <c r="L56" s="2" t="s">
        <v>24</v>
      </c>
      <c r="M56" s="1"/>
      <c r="N56" s="1"/>
      <c r="O56" s="10" t="s">
        <v>394</v>
      </c>
      <c r="P56" s="2"/>
      <c r="R56" s="2"/>
      <c r="S56" s="2"/>
      <c r="T56" s="2"/>
      <c r="U56" s="2"/>
      <c r="V56" s="2"/>
      <c r="W56" s="2"/>
      <c r="X56" s="2"/>
    </row>
    <row r="57" ht="15.75" customHeight="1">
      <c r="A57" s="1" t="s">
        <v>395</v>
      </c>
      <c r="B57" s="15">
        <v>6.120001113618E12</v>
      </c>
      <c r="C57" s="12" t="s">
        <v>396</v>
      </c>
      <c r="D57" s="1" t="s">
        <v>152</v>
      </c>
      <c r="E57" s="2" t="s">
        <v>397</v>
      </c>
      <c r="F57" s="4" t="s">
        <v>58</v>
      </c>
      <c r="G57" s="4">
        <v>2005.0</v>
      </c>
      <c r="H57" s="1" t="s">
        <v>398</v>
      </c>
      <c r="I57" s="2" t="s">
        <v>21</v>
      </c>
      <c r="J57" s="5" t="s">
        <v>399</v>
      </c>
      <c r="K57" s="5" t="s">
        <v>399</v>
      </c>
      <c r="L57" s="2" t="s">
        <v>62</v>
      </c>
      <c r="M57" s="1"/>
      <c r="N57" s="1"/>
      <c r="O57" s="10" t="s">
        <v>400</v>
      </c>
      <c r="P57" s="2"/>
      <c r="R57" s="2"/>
      <c r="S57" s="2"/>
      <c r="T57" s="2"/>
      <c r="U57" s="2"/>
      <c r="V57" s="2"/>
      <c r="W57" s="2"/>
      <c r="X57" s="2"/>
    </row>
    <row r="58" ht="15.75" customHeight="1">
      <c r="A58" s="1" t="s">
        <v>401</v>
      </c>
      <c r="B58" s="6">
        <v>5.010001115031E12</v>
      </c>
      <c r="C58" s="7" t="s">
        <v>402</v>
      </c>
      <c r="D58" s="1" t="s">
        <v>56</v>
      </c>
      <c r="E58" s="2" t="s">
        <v>403</v>
      </c>
      <c r="F58" s="4" t="s">
        <v>19</v>
      </c>
      <c r="G58" s="4">
        <v>2005.0</v>
      </c>
      <c r="H58" s="1" t="s">
        <v>404</v>
      </c>
      <c r="I58" s="2"/>
      <c r="J58" s="5" t="s">
        <v>405</v>
      </c>
      <c r="K58" s="5" t="s">
        <v>405</v>
      </c>
      <c r="L58" s="2" t="s">
        <v>24</v>
      </c>
      <c r="M58" s="1"/>
      <c r="N58" s="1"/>
      <c r="O58" s="10" t="s">
        <v>406</v>
      </c>
      <c r="P58" s="2"/>
      <c r="R58" s="2"/>
      <c r="S58" s="2"/>
      <c r="T58" s="2"/>
      <c r="U58" s="2"/>
      <c r="V58" s="2"/>
      <c r="W58" s="2"/>
      <c r="X58" s="2"/>
    </row>
    <row r="59" ht="15.75" customHeight="1">
      <c r="A59" s="1" t="s">
        <v>407</v>
      </c>
      <c r="B59" s="6">
        <v>4.013301027145E12</v>
      </c>
      <c r="C59" s="7" t="s">
        <v>408</v>
      </c>
      <c r="D59" s="1" t="s">
        <v>56</v>
      </c>
      <c r="E59" s="20" t="s">
        <v>409</v>
      </c>
      <c r="F59" s="4" t="s">
        <v>19</v>
      </c>
      <c r="G59" s="4">
        <v>2005.0</v>
      </c>
      <c r="H59" s="1" t="s">
        <v>410</v>
      </c>
      <c r="I59" s="2"/>
      <c r="J59" s="5" t="s">
        <v>411</v>
      </c>
      <c r="K59" s="14" t="s">
        <v>412</v>
      </c>
      <c r="L59" s="2" t="s">
        <v>24</v>
      </c>
      <c r="M59" s="1"/>
      <c r="N59" s="1"/>
      <c r="O59" s="10" t="s">
        <v>413</v>
      </c>
      <c r="P59" s="2"/>
      <c r="R59" s="2"/>
      <c r="S59" s="2"/>
      <c r="T59" s="2"/>
      <c r="U59" s="2"/>
      <c r="V59" s="2"/>
      <c r="W59" s="2"/>
      <c r="X59" s="2"/>
    </row>
    <row r="60" ht="15.75" customHeight="1">
      <c r="A60" s="1" t="s">
        <v>414</v>
      </c>
      <c r="B60" s="6">
        <v>6.011001046711E12</v>
      </c>
      <c r="C60" s="7" t="str">
        <f>HYPERLINK("http://www.genova.co.jp/","http://www.genova.co.jp/")</f>
        <v>http://www.genova.co.jp/</v>
      </c>
      <c r="D60" s="1" t="s">
        <v>56</v>
      </c>
      <c r="E60" s="2" t="s">
        <v>415</v>
      </c>
      <c r="F60" s="4" t="s">
        <v>19</v>
      </c>
      <c r="G60" s="4">
        <v>2005.0</v>
      </c>
      <c r="H60" s="1" t="s">
        <v>416</v>
      </c>
      <c r="I60" s="2" t="s">
        <v>21</v>
      </c>
      <c r="J60" s="5" t="s">
        <v>417</v>
      </c>
      <c r="K60" s="14" t="s">
        <v>417</v>
      </c>
      <c r="L60" s="2" t="s">
        <v>24</v>
      </c>
      <c r="M60" s="1"/>
      <c r="N60" s="1"/>
      <c r="O60" s="10" t="s">
        <v>418</v>
      </c>
      <c r="P60" s="2"/>
      <c r="R60" s="2"/>
      <c r="S60" s="2"/>
      <c r="T60" s="2"/>
      <c r="U60" s="2"/>
      <c r="V60" s="2"/>
      <c r="W60" s="2"/>
      <c r="X60" s="2"/>
    </row>
    <row r="61" ht="15.75" customHeight="1">
      <c r="A61" s="13" t="s">
        <v>419</v>
      </c>
      <c r="B61" s="6">
        <v>2.010601041464E12</v>
      </c>
      <c r="C61" s="7" t="str">
        <f>HYPERLINK("http://gc-story.com/","http://gc-story.com/")</f>
        <v>http://gc-story.com/</v>
      </c>
      <c r="D61" s="13" t="s">
        <v>239</v>
      </c>
      <c r="E61" s="2" t="s">
        <v>420</v>
      </c>
      <c r="F61" s="4" t="s">
        <v>19</v>
      </c>
      <c r="G61" s="4">
        <v>2005.0</v>
      </c>
      <c r="H61" s="1" t="s">
        <v>421</v>
      </c>
      <c r="I61" s="2" t="s">
        <v>70</v>
      </c>
      <c r="J61" s="5" t="s">
        <v>422</v>
      </c>
      <c r="K61" s="5" t="s">
        <v>422</v>
      </c>
      <c r="L61" s="2" t="s">
        <v>24</v>
      </c>
      <c r="M61" s="1"/>
      <c r="N61" s="1"/>
      <c r="O61" s="10" t="s">
        <v>423</v>
      </c>
      <c r="P61" s="2"/>
      <c r="R61" s="2"/>
      <c r="S61" s="2"/>
      <c r="T61" s="2"/>
      <c r="U61" s="2"/>
      <c r="V61" s="2"/>
      <c r="W61" s="2"/>
      <c r="X61" s="2"/>
    </row>
    <row r="62" ht="15.75" customHeight="1">
      <c r="A62" s="1" t="s">
        <v>424</v>
      </c>
      <c r="B62" s="6">
        <v>1.010901019228E12</v>
      </c>
      <c r="C62" s="7" t="str">
        <f>HYPERLINK("http://www.qlife.co.jp/","http://www.qlife.co.jp/")</f>
        <v>http://www.qlife.co.jp/</v>
      </c>
      <c r="D62" s="13" t="s">
        <v>425</v>
      </c>
      <c r="E62" s="2" t="s">
        <v>426</v>
      </c>
      <c r="F62" s="4" t="s">
        <v>19</v>
      </c>
      <c r="G62" s="4">
        <v>2006.0</v>
      </c>
      <c r="H62" s="1" t="s">
        <v>427</v>
      </c>
      <c r="I62" s="2" t="s">
        <v>70</v>
      </c>
      <c r="J62" s="5" t="s">
        <v>428</v>
      </c>
      <c r="K62" s="5" t="s">
        <v>428</v>
      </c>
      <c r="L62" s="2" t="s">
        <v>52</v>
      </c>
      <c r="M62" s="1" t="s">
        <v>429</v>
      </c>
      <c r="N62" s="1"/>
      <c r="O62" s="10" t="s">
        <v>430</v>
      </c>
      <c r="P62" s="2"/>
      <c r="R62" s="2"/>
      <c r="S62" s="2"/>
      <c r="T62" s="2"/>
      <c r="U62" s="2"/>
      <c r="V62" s="2"/>
      <c r="W62" s="2"/>
      <c r="X62" s="2"/>
    </row>
    <row r="63" ht="15.75" customHeight="1">
      <c r="A63" s="1" t="s">
        <v>431</v>
      </c>
      <c r="B63" s="15">
        <v>2.011101054824E12</v>
      </c>
      <c r="C63" s="23" t="s">
        <v>432</v>
      </c>
      <c r="D63" s="21" t="s">
        <v>56</v>
      </c>
      <c r="E63" s="2" t="s">
        <v>433</v>
      </c>
      <c r="F63" s="4" t="s">
        <v>19</v>
      </c>
      <c r="G63" s="4">
        <v>2006.0</v>
      </c>
      <c r="H63" s="1" t="s">
        <v>434</v>
      </c>
      <c r="I63" s="2"/>
      <c r="J63" s="5" t="s">
        <v>435</v>
      </c>
      <c r="K63" s="5" t="s">
        <v>435</v>
      </c>
      <c r="L63" s="2" t="s">
        <v>24</v>
      </c>
      <c r="M63" s="1"/>
      <c r="N63" s="1"/>
      <c r="O63" s="10" t="s">
        <v>436</v>
      </c>
      <c r="P63" s="2"/>
      <c r="R63" s="2"/>
      <c r="S63" s="2"/>
      <c r="T63" s="2"/>
      <c r="U63" s="2"/>
      <c r="V63" s="2"/>
      <c r="W63" s="2"/>
      <c r="X63" s="2"/>
    </row>
    <row r="64" ht="15.75" customHeight="1">
      <c r="A64" s="1" t="s">
        <v>437</v>
      </c>
      <c r="B64" s="6">
        <v>4.010401091113E12</v>
      </c>
      <c r="C64" s="7" t="str">
        <f>HYPERLINK("http://www.a2sigma.co.jp/","http://www.a2sigma.co.jp/")</f>
        <v>http://www.a2sigma.co.jp/</v>
      </c>
      <c r="D64" s="1" t="s">
        <v>56</v>
      </c>
      <c r="E64" s="2" t="s">
        <v>438</v>
      </c>
      <c r="F64" s="4" t="s">
        <v>19</v>
      </c>
      <c r="G64" s="4">
        <v>2006.0</v>
      </c>
      <c r="H64" s="1" t="s">
        <v>439</v>
      </c>
      <c r="I64" s="2"/>
      <c r="J64" s="5" t="s">
        <v>440</v>
      </c>
      <c r="K64" s="14" t="s">
        <v>441</v>
      </c>
      <c r="L64" s="2" t="s">
        <v>24</v>
      </c>
      <c r="M64" s="1"/>
      <c r="N64" s="1"/>
      <c r="O64" s="10" t="s">
        <v>442</v>
      </c>
      <c r="P64" s="2"/>
      <c r="R64" s="2"/>
      <c r="S64" s="2"/>
      <c r="T64" s="2"/>
      <c r="U64" s="2"/>
      <c r="V64" s="2"/>
      <c r="W64" s="2"/>
      <c r="X64" s="2"/>
    </row>
    <row r="65" ht="15.75" customHeight="1">
      <c r="A65" s="1" t="s">
        <v>443</v>
      </c>
      <c r="B65" s="6">
        <v>7.011001070685E12</v>
      </c>
      <c r="C65" s="7" t="s">
        <v>444</v>
      </c>
      <c r="D65" s="1" t="s">
        <v>152</v>
      </c>
      <c r="E65" s="2" t="s">
        <v>445</v>
      </c>
      <c r="F65" s="4" t="s">
        <v>19</v>
      </c>
      <c r="G65" s="4">
        <v>2006.0</v>
      </c>
      <c r="H65" s="1" t="s">
        <v>446</v>
      </c>
      <c r="I65" s="2"/>
      <c r="J65" s="5"/>
      <c r="K65" s="14" t="s">
        <v>447</v>
      </c>
      <c r="L65" s="2" t="s">
        <v>52</v>
      </c>
      <c r="M65" s="1" t="s">
        <v>448</v>
      </c>
      <c r="N65" s="1"/>
      <c r="O65" s="10" t="s">
        <v>449</v>
      </c>
      <c r="P65" s="2"/>
      <c r="R65" s="2"/>
      <c r="S65" s="2"/>
      <c r="T65" s="2"/>
      <c r="U65" s="2"/>
      <c r="V65" s="2"/>
      <c r="W65" s="2"/>
      <c r="X65" s="2"/>
    </row>
    <row r="66" ht="15.75" customHeight="1">
      <c r="A66" s="1" t="s">
        <v>450</v>
      </c>
      <c r="B66" s="6">
        <v>9.010402032532E12</v>
      </c>
      <c r="C66" s="7" t="str">
        <f>HYPERLINK("https://www.mediwill.jp/","https://www.mediwill.jp/")</f>
        <v>https://www.mediwill.jp/</v>
      </c>
      <c r="D66" s="1" t="s">
        <v>56</v>
      </c>
      <c r="E66" s="2" t="s">
        <v>451</v>
      </c>
      <c r="F66" s="4" t="s">
        <v>19</v>
      </c>
      <c r="G66" s="4">
        <v>2006.0</v>
      </c>
      <c r="H66" s="1" t="s">
        <v>452</v>
      </c>
      <c r="I66" s="2" t="s">
        <v>147</v>
      </c>
      <c r="J66" s="5" t="s">
        <v>453</v>
      </c>
      <c r="K66" s="14" t="s">
        <v>453</v>
      </c>
      <c r="L66" s="2" t="s">
        <v>24</v>
      </c>
      <c r="M66" s="1"/>
      <c r="N66" s="1"/>
      <c r="O66" s="10" t="s">
        <v>454</v>
      </c>
      <c r="P66" s="2"/>
      <c r="R66" s="2"/>
      <c r="S66" s="2"/>
      <c r="T66" s="2"/>
      <c r="U66" s="2"/>
      <c r="V66" s="2"/>
      <c r="W66" s="2"/>
      <c r="X66" s="2"/>
    </row>
    <row r="67" ht="15.75" customHeight="1">
      <c r="A67" s="1" t="s">
        <v>455</v>
      </c>
      <c r="B67" s="6">
        <v>9.010401083881E12</v>
      </c>
      <c r="C67" s="7" t="s">
        <v>456</v>
      </c>
      <c r="D67" s="1" t="s">
        <v>56</v>
      </c>
      <c r="E67" s="2" t="s">
        <v>457</v>
      </c>
      <c r="F67" s="4" t="s">
        <v>19</v>
      </c>
      <c r="G67" s="4">
        <v>2006.0</v>
      </c>
      <c r="H67" s="1" t="s">
        <v>458</v>
      </c>
      <c r="I67" s="2" t="s">
        <v>93</v>
      </c>
      <c r="J67" s="5" t="s">
        <v>459</v>
      </c>
      <c r="K67" s="5" t="s">
        <v>459</v>
      </c>
      <c r="L67" s="2" t="s">
        <v>24</v>
      </c>
      <c r="M67" s="1"/>
      <c r="N67" s="1"/>
      <c r="O67" s="10" t="s">
        <v>460</v>
      </c>
      <c r="P67" s="2"/>
      <c r="R67" s="2"/>
      <c r="S67" s="2"/>
      <c r="T67" s="2"/>
      <c r="U67" s="2"/>
      <c r="V67" s="2"/>
      <c r="W67" s="2"/>
      <c r="X67" s="2"/>
    </row>
    <row r="68" ht="15.75" customHeight="1">
      <c r="A68" s="1" t="s">
        <v>461</v>
      </c>
      <c r="B68" s="6">
        <v>5.080001010894E12</v>
      </c>
      <c r="C68" s="7" t="str">
        <f>HYPERLINK("https://www.healthy-pass.co.jp/","https://www.healthy-pass.co.jp/")</f>
        <v>https://www.healthy-pass.co.jp/</v>
      </c>
      <c r="D68" s="1" t="s">
        <v>152</v>
      </c>
      <c r="E68" s="2" t="s">
        <v>462</v>
      </c>
      <c r="F68" s="4" t="s">
        <v>463</v>
      </c>
      <c r="G68" s="4">
        <v>2006.0</v>
      </c>
      <c r="H68" s="1" t="s">
        <v>464</v>
      </c>
      <c r="I68" s="2"/>
      <c r="J68" s="5" t="s">
        <v>465</v>
      </c>
      <c r="K68" s="14" t="s">
        <v>465</v>
      </c>
      <c r="L68" s="2" t="s">
        <v>24</v>
      </c>
      <c r="M68" s="1"/>
      <c r="N68" s="1"/>
      <c r="O68" s="10" t="s">
        <v>466</v>
      </c>
      <c r="P68" s="2"/>
      <c r="R68" s="2"/>
      <c r="S68" s="2"/>
      <c r="T68" s="2"/>
      <c r="U68" s="2"/>
      <c r="V68" s="2"/>
      <c r="W68" s="2"/>
      <c r="X68" s="2"/>
    </row>
    <row r="69" ht="15.75" customHeight="1">
      <c r="A69" s="1" t="s">
        <v>467</v>
      </c>
      <c r="B69" s="6">
        <v>1.120001117458E12</v>
      </c>
      <c r="C69" s="7" t="str">
        <f>HYPERLINK("https://www.mythos-jp.com/","https://www.mythos-jp.com/")</f>
        <v>https://www.mythos-jp.com/</v>
      </c>
      <c r="D69" s="1" t="s">
        <v>56</v>
      </c>
      <c r="E69" s="2" t="s">
        <v>468</v>
      </c>
      <c r="F69" s="4" t="s">
        <v>19</v>
      </c>
      <c r="G69" s="4">
        <v>2006.0</v>
      </c>
      <c r="H69" s="1" t="s">
        <v>469</v>
      </c>
      <c r="I69" s="2" t="s">
        <v>70</v>
      </c>
      <c r="J69" s="5" t="s">
        <v>470</v>
      </c>
      <c r="K69" s="5" t="s">
        <v>470</v>
      </c>
      <c r="L69" s="2" t="s">
        <v>24</v>
      </c>
      <c r="M69" s="1"/>
      <c r="N69" s="1"/>
      <c r="O69" s="10" t="s">
        <v>471</v>
      </c>
      <c r="P69" s="2"/>
      <c r="R69" s="2"/>
      <c r="S69" s="2"/>
      <c r="T69" s="2"/>
      <c r="U69" s="2"/>
      <c r="V69" s="2"/>
      <c r="W69" s="2"/>
      <c r="X69" s="2"/>
    </row>
    <row r="70" ht="15.75" customHeight="1">
      <c r="A70" s="24" t="s">
        <v>472</v>
      </c>
      <c r="B70" s="6">
        <v>2.011101047134E12</v>
      </c>
      <c r="C70" s="7" t="s">
        <v>473</v>
      </c>
      <c r="D70" s="1" t="s">
        <v>152</v>
      </c>
      <c r="E70" s="2" t="s">
        <v>474</v>
      </c>
      <c r="F70" s="4" t="s">
        <v>19</v>
      </c>
      <c r="G70" s="4">
        <v>2007.0</v>
      </c>
      <c r="H70" s="1" t="s">
        <v>475</v>
      </c>
      <c r="I70" s="2"/>
      <c r="J70" s="5" t="s">
        <v>476</v>
      </c>
      <c r="K70" s="14" t="s">
        <v>477</v>
      </c>
      <c r="L70" s="2" t="s">
        <v>24</v>
      </c>
      <c r="M70" s="1"/>
      <c r="N70" s="1"/>
      <c r="O70" s="10" t="s">
        <v>478</v>
      </c>
      <c r="P70" s="2"/>
      <c r="R70" s="2"/>
      <c r="S70" s="2"/>
      <c r="T70" s="2"/>
      <c r="U70" s="2"/>
      <c r="V70" s="2"/>
      <c r="W70" s="2"/>
      <c r="X70" s="2"/>
    </row>
    <row r="71" ht="15.75" customHeight="1">
      <c r="A71" s="1" t="s">
        <v>479</v>
      </c>
      <c r="B71" s="6">
        <v>6.010403006422E12</v>
      </c>
      <c r="C71" s="7" t="s">
        <v>480</v>
      </c>
      <c r="D71" s="1" t="s">
        <v>56</v>
      </c>
      <c r="E71" s="2" t="s">
        <v>481</v>
      </c>
      <c r="F71" s="4" t="s">
        <v>19</v>
      </c>
      <c r="G71" s="4">
        <v>2007.0</v>
      </c>
      <c r="H71" s="1" t="s">
        <v>482</v>
      </c>
      <c r="I71" s="2" t="s">
        <v>93</v>
      </c>
      <c r="J71" s="5" t="s">
        <v>483</v>
      </c>
      <c r="K71" s="5" t="s">
        <v>484</v>
      </c>
      <c r="L71" s="2" t="s">
        <v>24</v>
      </c>
      <c r="M71" s="1" t="s">
        <v>484</v>
      </c>
      <c r="N71" s="1"/>
      <c r="O71" s="7" t="s">
        <v>485</v>
      </c>
      <c r="P71" s="2"/>
      <c r="Q71" s="2"/>
      <c r="R71" s="2"/>
      <c r="S71" s="2"/>
      <c r="T71" s="2"/>
      <c r="U71" s="2"/>
      <c r="V71" s="2"/>
      <c r="W71" s="2"/>
      <c r="X71" s="2"/>
    </row>
    <row r="72" ht="15.75" customHeight="1">
      <c r="A72" s="1" t="s">
        <v>486</v>
      </c>
      <c r="B72" s="6">
        <v>6.01000111084E12</v>
      </c>
      <c r="C72" s="7" t="str">
        <f>HYPERLINK("https://est-corporation.jp/","https://est-corporation.jp/")</f>
        <v>https://est-corporation.jp/</v>
      </c>
      <c r="D72" s="1" t="s">
        <v>90</v>
      </c>
      <c r="E72" s="2" t="s">
        <v>487</v>
      </c>
      <c r="F72" s="4" t="s">
        <v>19</v>
      </c>
      <c r="G72" s="4">
        <v>2007.0</v>
      </c>
      <c r="H72" s="27" t="s">
        <v>488</v>
      </c>
      <c r="I72" s="2"/>
      <c r="J72" s="5" t="s">
        <v>489</v>
      </c>
      <c r="K72" s="14" t="s">
        <v>489</v>
      </c>
      <c r="L72" s="2" t="s">
        <v>24</v>
      </c>
      <c r="M72" s="1"/>
      <c r="N72" s="1"/>
      <c r="O72" s="7" t="s">
        <v>490</v>
      </c>
      <c r="P72" s="2"/>
      <c r="Q72" s="2"/>
      <c r="R72" s="2"/>
      <c r="S72" s="2"/>
      <c r="T72" s="2"/>
      <c r="U72" s="2"/>
      <c r="V72" s="2"/>
      <c r="W72" s="2"/>
      <c r="X72" s="2"/>
    </row>
    <row r="73" ht="15.75" customHeight="1">
      <c r="A73" s="28" t="s">
        <v>491</v>
      </c>
      <c r="B73" s="29">
        <v>4.020001055401E12</v>
      </c>
      <c r="C73" s="30" t="s">
        <v>492</v>
      </c>
      <c r="D73" s="1" t="s">
        <v>90</v>
      </c>
      <c r="E73" s="2" t="s">
        <v>493</v>
      </c>
      <c r="F73" s="4" t="s">
        <v>19</v>
      </c>
      <c r="G73" s="4">
        <v>2007.0</v>
      </c>
      <c r="H73" s="1" t="s">
        <v>494</v>
      </c>
      <c r="I73" s="2" t="s">
        <v>70</v>
      </c>
      <c r="J73" s="5" t="s">
        <v>495</v>
      </c>
      <c r="K73" s="14" t="s">
        <v>495</v>
      </c>
      <c r="L73" s="2" t="s">
        <v>24</v>
      </c>
      <c r="M73" s="1"/>
      <c r="N73" s="1"/>
      <c r="O73" s="7" t="s">
        <v>496</v>
      </c>
      <c r="P73" s="2"/>
      <c r="Q73" s="2"/>
      <c r="R73" s="2"/>
      <c r="S73" s="2"/>
      <c r="T73" s="2"/>
      <c r="U73" s="2"/>
      <c r="V73" s="2"/>
      <c r="W73" s="2"/>
      <c r="X73" s="2"/>
    </row>
    <row r="74" ht="15.75" customHeight="1">
      <c r="A74" s="1" t="s">
        <v>497</v>
      </c>
      <c r="B74" s="15">
        <v>3.130001028784E12</v>
      </c>
      <c r="C74" s="12" t="s">
        <v>498</v>
      </c>
      <c r="D74" s="1" t="s">
        <v>247</v>
      </c>
      <c r="E74" s="2" t="s">
        <v>248</v>
      </c>
      <c r="F74" s="4" t="s">
        <v>499</v>
      </c>
      <c r="G74" s="4">
        <v>2007.0</v>
      </c>
      <c r="H74" s="1" t="s">
        <v>500</v>
      </c>
      <c r="I74" s="2"/>
      <c r="J74" s="5" t="s">
        <v>501</v>
      </c>
      <c r="K74" s="5" t="s">
        <v>501</v>
      </c>
      <c r="L74" s="2" t="s">
        <v>24</v>
      </c>
      <c r="M74" s="1"/>
      <c r="N74" s="1" t="s">
        <v>502</v>
      </c>
      <c r="O74" s="7" t="s">
        <v>503</v>
      </c>
      <c r="P74" s="2"/>
      <c r="Q74" s="2"/>
      <c r="R74" s="2"/>
      <c r="S74" s="2"/>
      <c r="T74" s="2"/>
      <c r="U74" s="2"/>
      <c r="V74" s="2"/>
      <c r="W74" s="2"/>
      <c r="X74" s="2"/>
    </row>
    <row r="75" ht="15.75" customHeight="1">
      <c r="A75" s="1" t="s">
        <v>504</v>
      </c>
      <c r="B75" s="15">
        <v>6.010401079775E12</v>
      </c>
      <c r="C75" s="12" t="s">
        <v>505</v>
      </c>
      <c r="D75" s="1" t="s">
        <v>56</v>
      </c>
      <c r="E75" s="2" t="s">
        <v>506</v>
      </c>
      <c r="F75" s="4" t="s">
        <v>19</v>
      </c>
      <c r="G75" s="4">
        <v>2007.0</v>
      </c>
      <c r="H75" s="1" t="s">
        <v>507</v>
      </c>
      <c r="I75" s="2"/>
      <c r="J75" s="5" t="s">
        <v>508</v>
      </c>
      <c r="K75" s="5" t="s">
        <v>508</v>
      </c>
      <c r="L75" s="2" t="s">
        <v>24</v>
      </c>
      <c r="M75" s="1"/>
      <c r="N75" s="1"/>
      <c r="O75" s="7" t="s">
        <v>509</v>
      </c>
      <c r="P75" s="2"/>
      <c r="Q75" s="2"/>
      <c r="R75" s="2"/>
      <c r="S75" s="2"/>
      <c r="T75" s="2"/>
      <c r="U75" s="2"/>
      <c r="V75" s="2"/>
      <c r="W75" s="2"/>
      <c r="X75" s="2"/>
    </row>
    <row r="76" ht="15.75" customHeight="1">
      <c r="A76" s="1" t="s">
        <v>510</v>
      </c>
      <c r="B76" s="6">
        <v>7.01040109573E12</v>
      </c>
      <c r="C76" s="7" t="str">
        <f>HYPERLINK("http://www.mediweb.jp/","http://www.mediweb.jp/")</f>
        <v>http://www.mediweb.jp/</v>
      </c>
      <c r="D76" s="1" t="s">
        <v>56</v>
      </c>
      <c r="E76" s="2" t="s">
        <v>511</v>
      </c>
      <c r="F76" s="4" t="s">
        <v>19</v>
      </c>
      <c r="G76" s="4">
        <v>2007.0</v>
      </c>
      <c r="H76" s="1" t="s">
        <v>512</v>
      </c>
      <c r="I76" s="2"/>
      <c r="J76" s="5" t="s">
        <v>513</v>
      </c>
      <c r="K76" s="5" t="s">
        <v>513</v>
      </c>
      <c r="L76" s="2" t="s">
        <v>24</v>
      </c>
      <c r="M76" s="1"/>
      <c r="N76" s="1"/>
      <c r="O76" s="7" t="s">
        <v>514</v>
      </c>
      <c r="P76" s="2"/>
      <c r="Q76" s="2"/>
      <c r="R76" s="2"/>
      <c r="S76" s="2"/>
      <c r="T76" s="2"/>
      <c r="U76" s="2"/>
      <c r="V76" s="2"/>
      <c r="W76" s="2"/>
      <c r="X76" s="2"/>
    </row>
    <row r="77" ht="15.75" customHeight="1">
      <c r="A77" s="1" t="s">
        <v>515</v>
      </c>
      <c r="B77" s="6">
        <v>1.010001112445E12</v>
      </c>
      <c r="C77" s="7" t="str">
        <f>HYPERLINK("http://www.medical-ci.co.jp/","http://www.medical-ci.co.jp/")</f>
        <v>http://www.medical-ci.co.jp/</v>
      </c>
      <c r="D77" s="1" t="s">
        <v>56</v>
      </c>
      <c r="E77" s="2" t="s">
        <v>516</v>
      </c>
      <c r="F77" s="4" t="s">
        <v>19</v>
      </c>
      <c r="G77" s="4">
        <v>2007.0</v>
      </c>
      <c r="H77" s="1" t="s">
        <v>517</v>
      </c>
      <c r="I77" s="2" t="s">
        <v>21</v>
      </c>
      <c r="J77" s="5" t="s">
        <v>518</v>
      </c>
      <c r="K77" s="5" t="s">
        <v>518</v>
      </c>
      <c r="L77" s="2" t="s">
        <v>24</v>
      </c>
      <c r="M77" s="1"/>
      <c r="N77" s="1"/>
      <c r="O77" s="7" t="s">
        <v>519</v>
      </c>
      <c r="P77" s="2"/>
      <c r="Q77" s="2"/>
      <c r="R77" s="2"/>
      <c r="S77" s="2"/>
      <c r="T77" s="2"/>
      <c r="U77" s="2"/>
      <c r="V77" s="2"/>
      <c r="W77" s="2"/>
      <c r="X77" s="2"/>
    </row>
    <row r="78" ht="15.75" customHeight="1">
      <c r="A78" s="1" t="s">
        <v>520</v>
      </c>
      <c r="B78" s="6">
        <v>6.011001062543E12</v>
      </c>
      <c r="C78" s="7" t="s">
        <v>521</v>
      </c>
      <c r="D78" s="1" t="s">
        <v>17</v>
      </c>
      <c r="E78" s="2" t="s">
        <v>522</v>
      </c>
      <c r="F78" s="4" t="s">
        <v>19</v>
      </c>
      <c r="G78" s="4">
        <v>2008.0</v>
      </c>
      <c r="H78" s="1" t="s">
        <v>523</v>
      </c>
      <c r="I78" s="2"/>
      <c r="J78" s="5" t="s">
        <v>524</v>
      </c>
      <c r="K78" s="5" t="s">
        <v>524</v>
      </c>
      <c r="L78" s="2" t="s">
        <v>24</v>
      </c>
      <c r="M78" s="1"/>
      <c r="N78" s="1"/>
      <c r="O78" s="7" t="s">
        <v>525</v>
      </c>
      <c r="P78" s="2"/>
      <c r="Q78" s="2"/>
      <c r="R78" s="2"/>
      <c r="S78" s="2"/>
      <c r="T78" s="2"/>
      <c r="U78" s="2"/>
      <c r="V78" s="2"/>
      <c r="W78" s="2"/>
      <c r="X78" s="2"/>
    </row>
    <row r="79" ht="15.75" customHeight="1">
      <c r="A79" s="1" t="s">
        <v>526</v>
      </c>
      <c r="B79" s="6">
        <v>6.011101061817E12</v>
      </c>
      <c r="C79" s="7" t="str">
        <f>HYPERLINK("https://www.careritz.co.jp/","https://www.careritz.co.jp/")</f>
        <v>https://www.careritz.co.jp/</v>
      </c>
      <c r="D79" s="1" t="s">
        <v>239</v>
      </c>
      <c r="E79" s="2" t="s">
        <v>527</v>
      </c>
      <c r="F79" s="4" t="s">
        <v>19</v>
      </c>
      <c r="G79" s="4">
        <v>2008.0</v>
      </c>
      <c r="H79" s="1" t="s">
        <v>528</v>
      </c>
      <c r="I79" s="2" t="s">
        <v>43</v>
      </c>
      <c r="J79" s="5" t="s">
        <v>529</v>
      </c>
      <c r="K79" s="5" t="s">
        <v>529</v>
      </c>
      <c r="L79" s="2" t="s">
        <v>24</v>
      </c>
      <c r="M79" s="1"/>
      <c r="N79" s="1"/>
      <c r="O79" s="7" t="s">
        <v>530</v>
      </c>
      <c r="P79" s="2"/>
      <c r="Q79" s="2"/>
      <c r="R79" s="2"/>
      <c r="S79" s="2"/>
      <c r="T79" s="2"/>
      <c r="U79" s="2"/>
      <c r="V79" s="2"/>
      <c r="W79" s="2"/>
      <c r="X79" s="2"/>
    </row>
    <row r="80" ht="15.75" customHeight="1">
      <c r="A80" s="1" t="s">
        <v>531</v>
      </c>
      <c r="B80" s="6">
        <v>6.010401078983E12</v>
      </c>
      <c r="C80" s="7" t="str">
        <f>HYPERLINK("http://mejy.jp/","http://mejy.jp/")</f>
        <v>http://mejy.jp/</v>
      </c>
      <c r="D80" s="1" t="s">
        <v>116</v>
      </c>
      <c r="E80" s="2" t="s">
        <v>532</v>
      </c>
      <c r="F80" s="4" t="s">
        <v>19</v>
      </c>
      <c r="G80" s="4">
        <v>2008.0</v>
      </c>
      <c r="H80" s="1" t="s">
        <v>533</v>
      </c>
      <c r="I80" s="2"/>
      <c r="J80" s="5" t="s">
        <v>534</v>
      </c>
      <c r="K80" s="5" t="s">
        <v>534</v>
      </c>
      <c r="L80" s="2" t="s">
        <v>24</v>
      </c>
      <c r="M80" s="1" t="s">
        <v>535</v>
      </c>
      <c r="N80" s="1"/>
      <c r="O80" s="7" t="s">
        <v>536</v>
      </c>
      <c r="P80" s="2"/>
      <c r="Q80" s="2"/>
      <c r="R80" s="2"/>
      <c r="S80" s="2"/>
      <c r="T80" s="2"/>
      <c r="U80" s="2"/>
      <c r="V80" s="2"/>
      <c r="W80" s="2"/>
      <c r="X80" s="2"/>
    </row>
    <row r="81" ht="15.75" customHeight="1">
      <c r="A81" s="1" t="s">
        <v>537</v>
      </c>
      <c r="B81" s="6">
        <v>9.011001073018E12</v>
      </c>
      <c r="C81" s="7" t="str">
        <f>HYPERLINK("https://hospitality-one.co.jp/","https://hospitality-one.co.jp/")</f>
        <v>https://hospitality-one.co.jp/</v>
      </c>
      <c r="D81" s="1" t="s">
        <v>239</v>
      </c>
      <c r="E81" s="2" t="s">
        <v>538</v>
      </c>
      <c r="F81" s="4" t="s">
        <v>19</v>
      </c>
      <c r="G81" s="4">
        <v>2008.0</v>
      </c>
      <c r="H81" s="1" t="s">
        <v>539</v>
      </c>
      <c r="I81" s="2" t="s">
        <v>147</v>
      </c>
      <c r="J81" s="5" t="s">
        <v>540</v>
      </c>
      <c r="K81" s="5" t="s">
        <v>540</v>
      </c>
      <c r="L81" s="2" t="s">
        <v>24</v>
      </c>
      <c r="M81" s="1"/>
      <c r="N81" s="1"/>
      <c r="O81" s="7" t="s">
        <v>541</v>
      </c>
      <c r="P81" s="2"/>
      <c r="Q81" s="2"/>
      <c r="R81" s="2"/>
      <c r="S81" s="2"/>
      <c r="T81" s="2"/>
      <c r="U81" s="2"/>
      <c r="V81" s="2"/>
      <c r="W81" s="2"/>
      <c r="X81" s="2"/>
    </row>
    <row r="82" ht="15.75" customHeight="1">
      <c r="A82" s="1" t="s">
        <v>542</v>
      </c>
      <c r="B82" s="15">
        <v>5.010701026354E12</v>
      </c>
      <c r="C82" s="12" t="s">
        <v>543</v>
      </c>
      <c r="D82" s="1" t="s">
        <v>39</v>
      </c>
      <c r="E82" s="2" t="s">
        <v>544</v>
      </c>
      <c r="F82" s="4" t="s">
        <v>19</v>
      </c>
      <c r="G82" s="4">
        <v>2008.0</v>
      </c>
      <c r="H82" s="1" t="s">
        <v>545</v>
      </c>
      <c r="I82" s="2" t="s">
        <v>147</v>
      </c>
      <c r="J82" s="5" t="s">
        <v>546</v>
      </c>
      <c r="K82" s="5" t="s">
        <v>546</v>
      </c>
      <c r="L82" s="2" t="s">
        <v>24</v>
      </c>
      <c r="M82" s="1"/>
      <c r="N82" s="1"/>
      <c r="O82" s="7" t="s">
        <v>547</v>
      </c>
      <c r="P82" s="2"/>
      <c r="Q82" s="2"/>
      <c r="R82" s="2"/>
      <c r="S82" s="2"/>
      <c r="T82" s="2"/>
      <c r="U82" s="2"/>
      <c r="V82" s="2"/>
      <c r="W82" s="2"/>
      <c r="X82" s="2"/>
    </row>
    <row r="83" ht="15.75" customHeight="1">
      <c r="A83" s="1" t="s">
        <v>548</v>
      </c>
      <c r="B83" s="6">
        <v>4.011001062719E12</v>
      </c>
      <c r="C83" s="7" t="str">
        <f>HYPERLINK("https://classico.co.jp/","https://classico.co.jp/")</f>
        <v>https://classico.co.jp/</v>
      </c>
      <c r="D83" s="1" t="s">
        <v>549</v>
      </c>
      <c r="E83" s="2" t="s">
        <v>550</v>
      </c>
      <c r="F83" s="4" t="s">
        <v>19</v>
      </c>
      <c r="G83" s="4">
        <v>2008.0</v>
      </c>
      <c r="H83" s="1" t="s">
        <v>551</v>
      </c>
      <c r="I83" s="2"/>
      <c r="J83" s="5" t="s">
        <v>552</v>
      </c>
      <c r="K83" s="5" t="s">
        <v>552</v>
      </c>
      <c r="L83" s="2" t="s">
        <v>24</v>
      </c>
      <c r="M83" s="1"/>
      <c r="N83" s="1"/>
      <c r="O83" s="7" t="s">
        <v>553</v>
      </c>
      <c r="P83" s="2"/>
      <c r="Q83" s="2"/>
      <c r="R83" s="2"/>
      <c r="S83" s="2"/>
      <c r="T83" s="2"/>
      <c r="U83" s="2"/>
      <c r="V83" s="2"/>
      <c r="W83" s="2"/>
      <c r="X83" s="2"/>
    </row>
    <row r="84" ht="15.75" customHeight="1">
      <c r="A84" s="1" t="s">
        <v>554</v>
      </c>
      <c r="B84" s="6">
        <v>3.290001031475E12</v>
      </c>
      <c r="C84" s="7" t="s">
        <v>555</v>
      </c>
      <c r="D84" s="1" t="s">
        <v>56</v>
      </c>
      <c r="E84" s="2" t="s">
        <v>556</v>
      </c>
      <c r="F84" s="4" t="s">
        <v>41</v>
      </c>
      <c r="G84" s="4">
        <v>2008.0</v>
      </c>
      <c r="H84" s="1" t="s">
        <v>557</v>
      </c>
      <c r="I84" s="2" t="s">
        <v>147</v>
      </c>
      <c r="J84" s="5" t="s">
        <v>558</v>
      </c>
      <c r="K84" s="5" t="s">
        <v>558</v>
      </c>
      <c r="L84" s="2" t="s">
        <v>24</v>
      </c>
      <c r="M84" s="1"/>
      <c r="N84" s="1"/>
      <c r="O84" s="7" t="s">
        <v>559</v>
      </c>
      <c r="P84" s="2"/>
      <c r="Q84" s="2"/>
      <c r="R84" s="2"/>
      <c r="S84" s="2"/>
      <c r="T84" s="2"/>
      <c r="U84" s="2"/>
      <c r="V84" s="2"/>
      <c r="W84" s="2"/>
      <c r="X84" s="2"/>
    </row>
    <row r="85" ht="15.75" customHeight="1">
      <c r="A85" s="1" t="s">
        <v>560</v>
      </c>
      <c r="B85" s="6">
        <v>1.011101054486E12</v>
      </c>
      <c r="C85" s="7" t="str">
        <f>HYPERLINK("https://rejob.co.jp/services","https://rejob.co.jp/services")</f>
        <v>https://rejob.co.jp/services</v>
      </c>
      <c r="D85" s="1" t="s">
        <v>187</v>
      </c>
      <c r="E85" s="2" t="s">
        <v>561</v>
      </c>
      <c r="F85" s="4" t="s">
        <v>19</v>
      </c>
      <c r="G85" s="4">
        <v>2009.0</v>
      </c>
      <c r="H85" s="1" t="s">
        <v>562</v>
      </c>
      <c r="I85" s="2"/>
      <c r="J85" s="5" t="s">
        <v>563</v>
      </c>
      <c r="K85" s="5" t="s">
        <v>563</v>
      </c>
      <c r="L85" s="2" t="s">
        <v>24</v>
      </c>
      <c r="M85" s="1"/>
      <c r="N85" s="1"/>
      <c r="O85" s="7" t="s">
        <v>564</v>
      </c>
      <c r="P85" s="2"/>
      <c r="Q85" s="2"/>
      <c r="R85" s="2"/>
      <c r="S85" s="2"/>
      <c r="T85" s="2"/>
      <c r="U85" s="2"/>
      <c r="V85" s="2"/>
      <c r="W85" s="2"/>
      <c r="X85" s="2"/>
    </row>
    <row r="86" ht="15.75" customHeight="1">
      <c r="A86" s="1" t="s">
        <v>565</v>
      </c>
      <c r="B86" s="15">
        <v>5.180001070417E12</v>
      </c>
      <c r="C86" s="12" t="s">
        <v>566</v>
      </c>
      <c r="D86" s="1" t="s">
        <v>567</v>
      </c>
      <c r="E86" s="2" t="s">
        <v>568</v>
      </c>
      <c r="F86" s="4" t="s">
        <v>569</v>
      </c>
      <c r="G86" s="4">
        <v>2009.0</v>
      </c>
      <c r="H86" s="1" t="s">
        <v>570</v>
      </c>
      <c r="I86" s="2" t="s">
        <v>70</v>
      </c>
      <c r="J86" s="5" t="s">
        <v>571</v>
      </c>
      <c r="K86" s="5" t="s">
        <v>571</v>
      </c>
      <c r="L86" s="2" t="s">
        <v>24</v>
      </c>
      <c r="M86" s="1"/>
      <c r="N86" s="1"/>
      <c r="O86" s="7" t="s">
        <v>572</v>
      </c>
      <c r="P86" s="2"/>
      <c r="Q86" s="2"/>
      <c r="R86" s="2"/>
      <c r="S86" s="2"/>
      <c r="T86" s="2"/>
      <c r="U86" s="2"/>
      <c r="V86" s="2"/>
      <c r="W86" s="2"/>
      <c r="X86" s="2"/>
    </row>
    <row r="87" ht="15.75" customHeight="1">
      <c r="A87" s="1" t="s">
        <v>573</v>
      </c>
      <c r="B87" s="6">
        <v>4.010401082351E12</v>
      </c>
      <c r="C87" s="7" t="str">
        <f>HYPERLINK("http://www.medley.jp/","http://www.medley.jp/")</f>
        <v>http://www.medley.jp/</v>
      </c>
      <c r="D87" s="1" t="s">
        <v>136</v>
      </c>
      <c r="E87" s="2" t="s">
        <v>574</v>
      </c>
      <c r="F87" s="4" t="s">
        <v>19</v>
      </c>
      <c r="G87" s="4">
        <v>2009.0</v>
      </c>
      <c r="H87" s="1" t="s">
        <v>575</v>
      </c>
      <c r="I87" s="2" t="s">
        <v>32</v>
      </c>
      <c r="J87" s="5" t="s">
        <v>576</v>
      </c>
      <c r="K87" s="5" t="s">
        <v>576</v>
      </c>
      <c r="L87" s="2" t="s">
        <v>62</v>
      </c>
      <c r="M87" s="1"/>
      <c r="N87" s="1" t="s">
        <v>577</v>
      </c>
      <c r="O87" s="7" t="s">
        <v>578</v>
      </c>
      <c r="P87" s="2"/>
      <c r="Q87" s="2"/>
      <c r="R87" s="2"/>
      <c r="S87" s="2"/>
      <c r="T87" s="2"/>
      <c r="U87" s="2"/>
      <c r="V87" s="2"/>
      <c r="W87" s="2"/>
      <c r="X87" s="2"/>
    </row>
    <row r="88" ht="15.75" customHeight="1">
      <c r="A88" s="1" t="s">
        <v>579</v>
      </c>
      <c r="B88" s="15">
        <v>3.010001128547E12</v>
      </c>
      <c r="C88" s="12" t="s">
        <v>580</v>
      </c>
      <c r="D88" s="31" t="s">
        <v>136</v>
      </c>
      <c r="E88" s="2" t="s">
        <v>581</v>
      </c>
      <c r="F88" s="4" t="s">
        <v>19</v>
      </c>
      <c r="G88" s="4">
        <v>2009.0</v>
      </c>
      <c r="H88" s="1" t="s">
        <v>582</v>
      </c>
      <c r="I88" s="2" t="s">
        <v>147</v>
      </c>
      <c r="J88" s="5" t="s">
        <v>583</v>
      </c>
      <c r="K88" s="5" t="s">
        <v>583</v>
      </c>
      <c r="L88" s="2" t="s">
        <v>24</v>
      </c>
      <c r="M88" s="1"/>
      <c r="N88" s="1"/>
      <c r="O88" s="7" t="s">
        <v>584</v>
      </c>
      <c r="P88" s="2"/>
      <c r="Q88" s="2"/>
      <c r="R88" s="2"/>
      <c r="S88" s="2"/>
      <c r="T88" s="2"/>
      <c r="U88" s="2"/>
      <c r="V88" s="2"/>
      <c r="W88" s="2"/>
      <c r="X88" s="2"/>
    </row>
    <row r="89" ht="15.75" customHeight="1">
      <c r="A89" s="1" t="s">
        <v>585</v>
      </c>
      <c r="B89" s="1">
        <v>7.010401079733E12</v>
      </c>
      <c r="C89" s="7" t="str">
        <f>HYPERLINK("https://corp.karadanote.jp/","https://corp.karadanote.jp/")</f>
        <v>https://corp.karadanote.jp/</v>
      </c>
      <c r="D89" s="13" t="s">
        <v>48</v>
      </c>
      <c r="E89" s="2" t="s">
        <v>586</v>
      </c>
      <c r="F89" s="4" t="s">
        <v>19</v>
      </c>
      <c r="G89" s="4">
        <v>2009.0</v>
      </c>
      <c r="H89" s="1" t="s">
        <v>587</v>
      </c>
      <c r="I89" s="2" t="s">
        <v>147</v>
      </c>
      <c r="J89" s="5" t="s">
        <v>588</v>
      </c>
      <c r="K89" s="5" t="s">
        <v>588</v>
      </c>
      <c r="L89" s="2" t="s">
        <v>62</v>
      </c>
      <c r="M89" s="1"/>
      <c r="N89" s="1"/>
      <c r="O89" s="7" t="s">
        <v>589</v>
      </c>
      <c r="P89" s="2"/>
      <c r="Q89" s="2"/>
      <c r="R89" s="2"/>
      <c r="S89" s="2"/>
      <c r="T89" s="2"/>
      <c r="U89" s="2"/>
      <c r="V89" s="2"/>
      <c r="W89" s="2"/>
      <c r="X89" s="2"/>
    </row>
    <row r="90" ht="15.75" customHeight="1">
      <c r="A90" s="1" t="s">
        <v>590</v>
      </c>
      <c r="B90" s="15">
        <v>2.010001130132E12</v>
      </c>
      <c r="C90" s="12" t="s">
        <v>591</v>
      </c>
      <c r="D90" s="1" t="s">
        <v>17</v>
      </c>
      <c r="E90" s="2" t="s">
        <v>592</v>
      </c>
      <c r="F90" s="4" t="s">
        <v>19</v>
      </c>
      <c r="G90" s="4">
        <v>2009.0</v>
      </c>
      <c r="H90" s="1" t="s">
        <v>593</v>
      </c>
      <c r="I90" s="2" t="s">
        <v>147</v>
      </c>
      <c r="J90" s="5" t="s">
        <v>594</v>
      </c>
      <c r="K90" s="5" t="s">
        <v>594</v>
      </c>
      <c r="L90" s="2" t="s">
        <v>24</v>
      </c>
      <c r="M90" s="1" t="s">
        <v>595</v>
      </c>
      <c r="N90" s="1"/>
      <c r="O90" s="7" t="s">
        <v>596</v>
      </c>
      <c r="P90" s="2"/>
      <c r="Q90" s="2"/>
      <c r="R90" s="2"/>
      <c r="S90" s="2"/>
      <c r="T90" s="2"/>
      <c r="U90" s="2"/>
      <c r="V90" s="2"/>
      <c r="W90" s="2"/>
      <c r="X90" s="2"/>
    </row>
    <row r="91" ht="15.75" customHeight="1">
      <c r="A91" s="1" t="s">
        <v>597</v>
      </c>
      <c r="B91" s="6">
        <v>6.011001066651E12</v>
      </c>
      <c r="C91" s="7" t="s">
        <v>598</v>
      </c>
      <c r="D91" s="1" t="s">
        <v>187</v>
      </c>
      <c r="E91" s="2" t="s">
        <v>599</v>
      </c>
      <c r="F91" s="4" t="s">
        <v>19</v>
      </c>
      <c r="G91" s="4">
        <v>2009.0</v>
      </c>
      <c r="H91" s="1" t="s">
        <v>600</v>
      </c>
      <c r="I91" s="2"/>
      <c r="J91" s="14"/>
      <c r="K91" s="14" t="s">
        <v>601</v>
      </c>
      <c r="L91" s="2" t="s">
        <v>24</v>
      </c>
      <c r="M91" s="1"/>
      <c r="N91" s="1"/>
      <c r="O91" s="7" t="s">
        <v>602</v>
      </c>
      <c r="P91" s="2"/>
      <c r="Q91" s="2"/>
      <c r="R91" s="2"/>
      <c r="S91" s="2"/>
      <c r="T91" s="2"/>
      <c r="U91" s="2"/>
      <c r="V91" s="2"/>
      <c r="W91" s="2"/>
      <c r="X91" s="2"/>
    </row>
    <row r="92" ht="15.75" customHeight="1">
      <c r="A92" s="1" t="s">
        <v>603</v>
      </c>
      <c r="B92" s="6">
        <v>1.010401091207E12</v>
      </c>
      <c r="C92" s="7" t="str">
        <f>HYPERLINK("http://mecompany.me/","http://mecompany.me/")</f>
        <v>http://mecompany.me/</v>
      </c>
      <c r="D92" s="1" t="s">
        <v>56</v>
      </c>
      <c r="E92" s="2" t="s">
        <v>604</v>
      </c>
      <c r="F92" s="4" t="s">
        <v>19</v>
      </c>
      <c r="G92" s="4">
        <v>2010.0</v>
      </c>
      <c r="H92" s="1" t="s">
        <v>605</v>
      </c>
      <c r="I92" s="2" t="s">
        <v>147</v>
      </c>
      <c r="J92" s="5" t="s">
        <v>606</v>
      </c>
      <c r="K92" s="5" t="s">
        <v>606</v>
      </c>
      <c r="L92" s="2" t="s">
        <v>52</v>
      </c>
      <c r="M92" s="1" t="s">
        <v>607</v>
      </c>
      <c r="N92" s="1"/>
      <c r="O92" s="7" t="s">
        <v>608</v>
      </c>
      <c r="P92" s="2"/>
      <c r="Q92" s="2"/>
      <c r="R92" s="2"/>
      <c r="S92" s="2"/>
      <c r="T92" s="2"/>
      <c r="U92" s="2"/>
      <c r="V92" s="2"/>
      <c r="W92" s="2"/>
      <c r="X92" s="2"/>
    </row>
    <row r="93" ht="15.75" customHeight="1">
      <c r="A93" s="24" t="s">
        <v>609</v>
      </c>
      <c r="B93" s="6">
        <v>5.01110103827E12</v>
      </c>
      <c r="C93" s="7" t="str">
        <f>HYPERLINK("http://www.rich.co.jp/","http://www.rich.co.jp/")</f>
        <v>http://www.rich.co.jp/</v>
      </c>
      <c r="D93" s="13" t="s">
        <v>74</v>
      </c>
      <c r="E93" s="2" t="s">
        <v>610</v>
      </c>
      <c r="F93" s="4" t="s">
        <v>19</v>
      </c>
      <c r="G93" s="4">
        <v>2010.0</v>
      </c>
      <c r="H93" s="1" t="s">
        <v>611</v>
      </c>
      <c r="I93" s="2" t="s">
        <v>70</v>
      </c>
      <c r="J93" s="5" t="s">
        <v>612</v>
      </c>
      <c r="K93" s="5" t="s">
        <v>612</v>
      </c>
      <c r="L93" s="2" t="s">
        <v>24</v>
      </c>
      <c r="M93" s="1"/>
      <c r="N93" s="1"/>
      <c r="O93" s="7" t="s">
        <v>613</v>
      </c>
      <c r="P93" s="2"/>
      <c r="Q93" s="2"/>
      <c r="R93" s="2"/>
      <c r="S93" s="2"/>
      <c r="T93" s="2"/>
      <c r="U93" s="2"/>
      <c r="V93" s="2"/>
      <c r="W93" s="2"/>
      <c r="X93" s="2"/>
    </row>
    <row r="94" ht="15.75" customHeight="1">
      <c r="A94" s="1" t="s">
        <v>614</v>
      </c>
      <c r="B94" s="6">
        <v>8.010401094698E12</v>
      </c>
      <c r="C94" s="7" t="str">
        <f>HYPERLINK("https://www.reasonwhy.jp/","https://www.reasonwhy.jp/")</f>
        <v>https://www.reasonwhy.jp/</v>
      </c>
      <c r="D94" s="1" t="s">
        <v>136</v>
      </c>
      <c r="E94" s="2" t="s">
        <v>615</v>
      </c>
      <c r="F94" s="4" t="s">
        <v>19</v>
      </c>
      <c r="G94" s="4">
        <v>2011.0</v>
      </c>
      <c r="H94" s="1" t="s">
        <v>616</v>
      </c>
      <c r="I94" s="2" t="s">
        <v>147</v>
      </c>
      <c r="J94" s="5" t="s">
        <v>617</v>
      </c>
      <c r="K94" s="5" t="s">
        <v>617</v>
      </c>
      <c r="L94" s="2" t="s">
        <v>24</v>
      </c>
      <c r="M94" s="1"/>
      <c r="N94" s="1"/>
      <c r="O94" s="7" t="s">
        <v>618</v>
      </c>
      <c r="P94" s="2"/>
      <c r="Q94" s="2"/>
      <c r="R94" s="2"/>
      <c r="S94" s="2"/>
      <c r="T94" s="2"/>
      <c r="U94" s="2"/>
      <c r="V94" s="2"/>
      <c r="W94" s="2"/>
      <c r="X94" s="2"/>
    </row>
    <row r="95" ht="15.75" customHeight="1">
      <c r="A95" s="1" t="s">
        <v>619</v>
      </c>
      <c r="B95" s="6">
        <v>2.010401094225E12</v>
      </c>
      <c r="C95" s="7" t="str">
        <f>HYPERLINK("https://www.icare.jpn.com/","https://www.icare.jpn.com/")</f>
        <v>https://www.icare.jpn.com/</v>
      </c>
      <c r="D95" s="1" t="s">
        <v>152</v>
      </c>
      <c r="E95" s="2" t="s">
        <v>620</v>
      </c>
      <c r="F95" s="4" t="s">
        <v>19</v>
      </c>
      <c r="G95" s="4">
        <v>2011.0</v>
      </c>
      <c r="H95" s="1" t="s">
        <v>621</v>
      </c>
      <c r="I95" s="2" t="s">
        <v>70</v>
      </c>
      <c r="J95" s="5" t="s">
        <v>622</v>
      </c>
      <c r="K95" s="5" t="s">
        <v>622</v>
      </c>
      <c r="L95" s="2" t="s">
        <v>24</v>
      </c>
      <c r="M95" s="1"/>
      <c r="N95" s="1"/>
      <c r="O95" s="7" t="s">
        <v>623</v>
      </c>
      <c r="P95" s="2"/>
      <c r="Q95" s="2"/>
      <c r="R95" s="2"/>
      <c r="S95" s="2"/>
      <c r="T95" s="2"/>
      <c r="U95" s="2"/>
      <c r="V95" s="2"/>
      <c r="W95" s="2"/>
      <c r="X95" s="2"/>
    </row>
    <row r="96" ht="15.75" customHeight="1">
      <c r="A96" s="1" t="s">
        <v>624</v>
      </c>
      <c r="B96" s="6">
        <v>8.010601041269E12</v>
      </c>
      <c r="C96" s="7" t="str">
        <f>HYPERLINK("http://www.avenir-executive.co.jp/","http://www.avenir-executive.co.jp/")</f>
        <v>http://www.avenir-executive.co.jp/</v>
      </c>
      <c r="D96" s="1" t="s">
        <v>152</v>
      </c>
      <c r="E96" s="2" t="s">
        <v>625</v>
      </c>
      <c r="F96" s="4" t="s">
        <v>19</v>
      </c>
      <c r="G96" s="4">
        <v>2011.0</v>
      </c>
      <c r="H96" s="1" t="s">
        <v>626</v>
      </c>
      <c r="I96" s="2" t="s">
        <v>147</v>
      </c>
      <c r="J96" s="5" t="s">
        <v>627</v>
      </c>
      <c r="K96" s="5" t="s">
        <v>627</v>
      </c>
      <c r="L96" s="2" t="s">
        <v>24</v>
      </c>
      <c r="M96" s="1" t="s">
        <v>628</v>
      </c>
      <c r="N96" s="1"/>
      <c r="O96" s="7" t="s">
        <v>629</v>
      </c>
      <c r="P96" s="2"/>
      <c r="Q96" s="2"/>
      <c r="R96" s="2"/>
      <c r="S96" s="2"/>
      <c r="T96" s="2"/>
      <c r="U96" s="2"/>
      <c r="V96" s="2"/>
      <c r="W96" s="2"/>
      <c r="X96" s="2"/>
    </row>
    <row r="97" ht="15.75" customHeight="1">
      <c r="A97" s="1" t="s">
        <v>630</v>
      </c>
      <c r="B97" s="6">
        <v>9.040001064791E12</v>
      </c>
      <c r="C97" s="7" t="str">
        <f>HYPERLINK("http://aba-lab.com/","http://aba-lab.com/")</f>
        <v>http://aba-lab.com/</v>
      </c>
      <c r="D97" s="1" t="s">
        <v>239</v>
      </c>
      <c r="E97" s="2" t="s">
        <v>631</v>
      </c>
      <c r="F97" s="4" t="s">
        <v>632</v>
      </c>
      <c r="G97" s="4">
        <v>2011.0</v>
      </c>
      <c r="H97" s="1" t="s">
        <v>633</v>
      </c>
      <c r="I97" s="2" t="s">
        <v>147</v>
      </c>
      <c r="J97" s="5" t="s">
        <v>634</v>
      </c>
      <c r="K97" s="5" t="s">
        <v>634</v>
      </c>
      <c r="L97" s="2" t="s">
        <v>24</v>
      </c>
      <c r="M97" s="1"/>
      <c r="N97" s="1" t="s">
        <v>635</v>
      </c>
      <c r="O97" s="7" t="s">
        <v>636</v>
      </c>
      <c r="P97" s="2"/>
      <c r="Q97" s="2"/>
      <c r="R97" s="2"/>
      <c r="S97" s="2"/>
      <c r="T97" s="2"/>
      <c r="U97" s="2"/>
      <c r="V97" s="2"/>
      <c r="W97" s="2"/>
      <c r="X97" s="2"/>
    </row>
    <row r="98" ht="15.75" customHeight="1">
      <c r="A98" s="1" t="s">
        <v>637</v>
      </c>
      <c r="B98" s="6">
        <v>5.010701025926E12</v>
      </c>
      <c r="C98" s="7" t="str">
        <f>HYPERLINK("http://www.lafool.co.jp/","http://www.lafool.co.jp/")</f>
        <v>http://www.lafool.co.jp/</v>
      </c>
      <c r="D98" s="1" t="s">
        <v>172</v>
      </c>
      <c r="E98" s="2" t="s">
        <v>638</v>
      </c>
      <c r="F98" s="4" t="s">
        <v>19</v>
      </c>
      <c r="G98" s="4">
        <v>2011.0</v>
      </c>
      <c r="H98" s="1" t="s">
        <v>639</v>
      </c>
      <c r="I98" s="2" t="s">
        <v>70</v>
      </c>
      <c r="J98" s="5" t="s">
        <v>640</v>
      </c>
      <c r="K98" s="5" t="s">
        <v>640</v>
      </c>
      <c r="L98" s="2" t="s">
        <v>24</v>
      </c>
      <c r="M98" s="1"/>
      <c r="N98" s="1"/>
      <c r="O98" s="7" t="s">
        <v>641</v>
      </c>
      <c r="P98" s="2"/>
      <c r="Q98" s="2"/>
      <c r="R98" s="2"/>
      <c r="S98" s="2"/>
      <c r="T98" s="2"/>
      <c r="U98" s="2"/>
      <c r="V98" s="2"/>
      <c r="W98" s="2"/>
      <c r="X98" s="2"/>
    </row>
    <row r="99" ht="15.75" customHeight="1">
      <c r="A99" s="1" t="s">
        <v>628</v>
      </c>
      <c r="B99" s="6">
        <v>2.010701026514E12</v>
      </c>
      <c r="C99" s="7" t="str">
        <f>HYPERLINK("http://www.miew.co.jp/","http://www.miew.co.jp/")</f>
        <v>http://www.miew.co.jp/</v>
      </c>
      <c r="D99" s="1" t="s">
        <v>172</v>
      </c>
      <c r="E99" s="2" t="s">
        <v>642</v>
      </c>
      <c r="F99" s="4" t="s">
        <v>19</v>
      </c>
      <c r="G99" s="4">
        <v>2011.0</v>
      </c>
      <c r="H99" s="1" t="s">
        <v>643</v>
      </c>
      <c r="I99" s="2" t="s">
        <v>70</v>
      </c>
      <c r="J99" s="5" t="s">
        <v>627</v>
      </c>
      <c r="K99" s="5" t="s">
        <v>627</v>
      </c>
      <c r="L99" s="2" t="s">
        <v>24</v>
      </c>
      <c r="M99" s="1"/>
      <c r="N99" s="1" t="s">
        <v>624</v>
      </c>
      <c r="O99" s="7" t="s">
        <v>644</v>
      </c>
      <c r="P99" s="2"/>
      <c r="Q99" s="2"/>
      <c r="R99" s="2"/>
      <c r="S99" s="2"/>
      <c r="T99" s="2"/>
      <c r="U99" s="2"/>
      <c r="V99" s="2"/>
      <c r="W99" s="2"/>
      <c r="X99" s="2"/>
    </row>
    <row r="100" ht="15.75" customHeight="1">
      <c r="A100" s="1" t="s">
        <v>645</v>
      </c>
      <c r="B100" s="6">
        <v>9.011001070865E12</v>
      </c>
      <c r="C100" s="7" t="str">
        <f>HYPERLINK("https://welby.jp/","https://welby.jp/")</f>
        <v>https://welby.jp/</v>
      </c>
      <c r="D100" s="13" t="s">
        <v>48</v>
      </c>
      <c r="E100" s="2" t="s">
        <v>646</v>
      </c>
      <c r="F100" s="4" t="s">
        <v>19</v>
      </c>
      <c r="G100" s="4">
        <v>2011.0</v>
      </c>
      <c r="H100" s="1" t="s">
        <v>647</v>
      </c>
      <c r="I100" s="2" t="s">
        <v>32</v>
      </c>
      <c r="J100" s="5" t="s">
        <v>648</v>
      </c>
      <c r="K100" s="5" t="s">
        <v>648</v>
      </c>
      <c r="L100" s="2" t="s">
        <v>62</v>
      </c>
      <c r="M100" s="1"/>
      <c r="N100" s="1" t="s">
        <v>649</v>
      </c>
      <c r="O100" s="7" t="s">
        <v>650</v>
      </c>
      <c r="P100" s="2"/>
      <c r="Q100" s="2"/>
      <c r="R100" s="2"/>
      <c r="S100" s="2"/>
      <c r="T100" s="2"/>
      <c r="U100" s="2"/>
      <c r="V100" s="2"/>
      <c r="W100" s="2"/>
      <c r="X100" s="2"/>
    </row>
    <row r="101" ht="15.75" customHeight="1">
      <c r="A101" s="1" t="s">
        <v>651</v>
      </c>
      <c r="B101" s="32">
        <v>4.01040109706E12</v>
      </c>
      <c r="C101" s="7" t="str">
        <f>HYPERLINK("http://wellnessdata.jp/","http://wellnessdata.jp/")</f>
        <v>http://wellnessdata.jp/</v>
      </c>
      <c r="D101" s="13" t="s">
        <v>48</v>
      </c>
      <c r="E101" s="2" t="s">
        <v>652</v>
      </c>
      <c r="F101" s="4" t="s">
        <v>19</v>
      </c>
      <c r="G101" s="4">
        <v>2011.0</v>
      </c>
      <c r="H101" s="1" t="s">
        <v>653</v>
      </c>
      <c r="I101" s="2" t="s">
        <v>93</v>
      </c>
      <c r="J101" s="5" t="s">
        <v>654</v>
      </c>
      <c r="K101" s="5" t="s">
        <v>654</v>
      </c>
      <c r="L101" s="2" t="s">
        <v>24</v>
      </c>
      <c r="M101" s="1"/>
      <c r="N101" s="1"/>
      <c r="O101" s="7" t="s">
        <v>655</v>
      </c>
      <c r="P101" s="2"/>
      <c r="Q101" s="2"/>
      <c r="R101" s="2"/>
      <c r="S101" s="2"/>
      <c r="T101" s="2"/>
      <c r="U101" s="2"/>
      <c r="V101" s="2"/>
      <c r="W101" s="2"/>
      <c r="X101" s="2"/>
    </row>
    <row r="102" ht="15.75" customHeight="1">
      <c r="A102" s="1" t="s">
        <v>656</v>
      </c>
      <c r="B102" s="32">
        <v>8.010401119918E12</v>
      </c>
      <c r="C102" s="7" t="str">
        <f>HYPERLINK("https://www.noom.com/jp/","https://www.noom.com/jp/")</f>
        <v>https://www.noom.com/jp/</v>
      </c>
      <c r="D102" s="1" t="s">
        <v>56</v>
      </c>
      <c r="E102" s="2" t="s">
        <v>657</v>
      </c>
      <c r="F102" s="4" t="s">
        <v>19</v>
      </c>
      <c r="G102" s="4">
        <v>2011.0</v>
      </c>
      <c r="H102" s="1" t="s">
        <v>658</v>
      </c>
      <c r="I102" s="2" t="s">
        <v>147</v>
      </c>
      <c r="J102" s="5" t="s">
        <v>659</v>
      </c>
      <c r="K102" s="5" t="s">
        <v>659</v>
      </c>
      <c r="L102" s="2" t="s">
        <v>24</v>
      </c>
      <c r="M102" s="1"/>
      <c r="N102" s="1"/>
      <c r="O102" s="22" t="s">
        <v>660</v>
      </c>
      <c r="P102" s="2"/>
      <c r="Q102" s="2"/>
      <c r="R102" s="2"/>
      <c r="S102" s="2"/>
      <c r="T102" s="2"/>
      <c r="U102" s="2"/>
      <c r="V102" s="2"/>
      <c r="W102" s="2"/>
      <c r="X102" s="2"/>
    </row>
    <row r="103" ht="15.75" customHeight="1">
      <c r="A103" s="1" t="s">
        <v>661</v>
      </c>
      <c r="B103" s="32">
        <v>3.01000113923E12</v>
      </c>
      <c r="C103" s="7" t="str">
        <f>HYPERLINK("https://xcoo.co.jp/","https://xcoo.co.jp/")</f>
        <v>https://xcoo.co.jp/</v>
      </c>
      <c r="D103" s="1" t="s">
        <v>56</v>
      </c>
      <c r="E103" s="2" t="s">
        <v>662</v>
      </c>
      <c r="F103" s="4" t="s">
        <v>19</v>
      </c>
      <c r="G103" s="4">
        <v>2011.0</v>
      </c>
      <c r="H103" s="1" t="s">
        <v>663</v>
      </c>
      <c r="I103" s="2" t="s">
        <v>147</v>
      </c>
      <c r="J103" s="5" t="s">
        <v>664</v>
      </c>
      <c r="K103" s="5" t="s">
        <v>664</v>
      </c>
      <c r="L103" s="2" t="s">
        <v>24</v>
      </c>
      <c r="M103" s="1"/>
      <c r="N103" s="1"/>
      <c r="O103" s="22" t="s">
        <v>665</v>
      </c>
      <c r="P103" s="2"/>
      <c r="Q103" s="2"/>
      <c r="R103" s="2"/>
      <c r="S103" s="2"/>
      <c r="T103" s="2"/>
      <c r="U103" s="2"/>
      <c r="V103" s="2"/>
      <c r="W103" s="2"/>
      <c r="X103" s="2"/>
    </row>
    <row r="104" ht="15.75" customHeight="1">
      <c r="A104" s="1" t="s">
        <v>666</v>
      </c>
      <c r="B104" s="32">
        <v>9.010401095101E12</v>
      </c>
      <c r="C104" s="7" t="str">
        <f>HYPERLINK("https://www.minacare.co.jp/","https://www.minacare.co.jp/")</f>
        <v>https://www.minacare.co.jp/</v>
      </c>
      <c r="D104" s="1" t="s">
        <v>172</v>
      </c>
      <c r="E104" s="2" t="s">
        <v>667</v>
      </c>
      <c r="F104" s="4" t="s">
        <v>19</v>
      </c>
      <c r="G104" s="4">
        <v>2011.0</v>
      </c>
      <c r="H104" s="1" t="s">
        <v>668</v>
      </c>
      <c r="I104" s="2" t="s">
        <v>147</v>
      </c>
      <c r="J104" s="5" t="s">
        <v>669</v>
      </c>
      <c r="K104" s="5" t="s">
        <v>669</v>
      </c>
      <c r="L104" s="2" t="s">
        <v>24</v>
      </c>
      <c r="M104" s="1"/>
      <c r="N104" s="1"/>
      <c r="O104" s="22" t="s">
        <v>670</v>
      </c>
      <c r="P104" s="2"/>
      <c r="Q104" s="2"/>
      <c r="R104" s="2"/>
      <c r="S104" s="2"/>
      <c r="T104" s="2"/>
      <c r="U104" s="2"/>
      <c r="V104" s="2"/>
      <c r="W104" s="2"/>
      <c r="X104" s="2"/>
    </row>
    <row r="105" ht="15.75" customHeight="1">
      <c r="A105" s="1" t="s">
        <v>671</v>
      </c>
      <c r="B105" s="32">
        <v>8.011001069074E12</v>
      </c>
      <c r="C105" s="7" t="str">
        <f>HYPERLINK("https://www.theport.jp/","https://www.theport.jp/")</f>
        <v>https://www.theport.jp/</v>
      </c>
      <c r="D105" s="21" t="s">
        <v>187</v>
      </c>
      <c r="E105" s="2" t="s">
        <v>672</v>
      </c>
      <c r="F105" s="4" t="s">
        <v>19</v>
      </c>
      <c r="G105" s="4">
        <v>2011.0</v>
      </c>
      <c r="H105" s="1" t="s">
        <v>673</v>
      </c>
      <c r="I105" s="2" t="s">
        <v>21</v>
      </c>
      <c r="J105" s="5" t="s">
        <v>674</v>
      </c>
      <c r="K105" s="5" t="s">
        <v>674</v>
      </c>
      <c r="L105" s="2" t="s">
        <v>62</v>
      </c>
      <c r="M105" s="1"/>
      <c r="N105" s="1"/>
      <c r="O105" s="7" t="s">
        <v>675</v>
      </c>
      <c r="P105" s="2"/>
      <c r="Q105" s="2"/>
      <c r="R105" s="2"/>
      <c r="S105" s="2"/>
      <c r="T105" s="2"/>
      <c r="U105" s="2"/>
      <c r="V105" s="2"/>
      <c r="W105" s="2"/>
      <c r="X105" s="2"/>
    </row>
    <row r="106" ht="15.75" customHeight="1">
      <c r="A106" s="1" t="s">
        <v>676</v>
      </c>
      <c r="B106" s="32">
        <v>5.011001097367E12</v>
      </c>
      <c r="C106" s="7" t="str">
        <f>HYPERLINK("http://untickle.com/","http://untickle.com/")</f>
        <v>http://untickle.com/</v>
      </c>
      <c r="D106" s="1" t="s">
        <v>17</v>
      </c>
      <c r="E106" s="2" t="s">
        <v>677</v>
      </c>
      <c r="F106" s="4" t="s">
        <v>19</v>
      </c>
      <c r="G106" s="4">
        <v>2011.0</v>
      </c>
      <c r="H106" s="1" t="s">
        <v>678</v>
      </c>
      <c r="I106" s="2" t="s">
        <v>93</v>
      </c>
      <c r="J106" s="5" t="s">
        <v>679</v>
      </c>
      <c r="K106" s="5" t="s">
        <v>679</v>
      </c>
      <c r="L106" s="2" t="s">
        <v>24</v>
      </c>
      <c r="M106" s="1"/>
      <c r="N106" s="1"/>
      <c r="O106" s="7" t="s">
        <v>680</v>
      </c>
      <c r="P106" s="2"/>
      <c r="Q106" s="2"/>
      <c r="R106" s="2"/>
      <c r="S106" s="2"/>
      <c r="T106" s="2"/>
      <c r="U106" s="2"/>
      <c r="V106" s="2"/>
      <c r="W106" s="2"/>
      <c r="X106" s="2"/>
    </row>
    <row r="107" ht="15.75" customHeight="1">
      <c r="A107" s="1" t="s">
        <v>681</v>
      </c>
      <c r="B107" s="32">
        <v>2.140001034246E12</v>
      </c>
      <c r="C107" s="7" t="str">
        <f>HYPERLINK("http://www.mediprime.co.jp/","http://www.mediprime.co.jp/")</f>
        <v>http://www.mediprime.co.jp/</v>
      </c>
      <c r="D107" s="1" t="s">
        <v>56</v>
      </c>
      <c r="E107" s="2" t="s">
        <v>682</v>
      </c>
      <c r="F107" s="4" t="s">
        <v>19</v>
      </c>
      <c r="G107" s="4">
        <v>2011.0</v>
      </c>
      <c r="H107" s="1" t="s">
        <v>683</v>
      </c>
      <c r="I107" s="2" t="s">
        <v>147</v>
      </c>
      <c r="J107" s="5" t="s">
        <v>684</v>
      </c>
      <c r="K107" s="5" t="s">
        <v>684</v>
      </c>
      <c r="L107" s="2" t="s">
        <v>24</v>
      </c>
      <c r="M107" s="1"/>
      <c r="N107" s="1" t="s">
        <v>685</v>
      </c>
      <c r="O107" s="7" t="s">
        <v>686</v>
      </c>
      <c r="P107" s="2"/>
      <c r="Q107" s="2"/>
      <c r="R107" s="2"/>
      <c r="S107" s="2"/>
      <c r="T107" s="2"/>
      <c r="U107" s="2"/>
      <c r="V107" s="2"/>
      <c r="W107" s="2"/>
      <c r="X107" s="2"/>
    </row>
    <row r="108" ht="15.75" customHeight="1">
      <c r="A108" s="1" t="s">
        <v>687</v>
      </c>
      <c r="B108" s="32">
        <v>2.011301018406E12</v>
      </c>
      <c r="C108" s="7" t="str">
        <f>HYPERLINK("https://corp.nicoly.jp/","https://corp.nicoly.jp/")</f>
        <v>https://corp.nicoly.jp/</v>
      </c>
      <c r="D108" s="13" t="s">
        <v>74</v>
      </c>
      <c r="E108" s="2" t="s">
        <v>688</v>
      </c>
      <c r="F108" s="4" t="s">
        <v>19</v>
      </c>
      <c r="G108" s="4">
        <v>2012.0</v>
      </c>
      <c r="H108" s="1" t="s">
        <v>689</v>
      </c>
      <c r="I108" s="2" t="s">
        <v>93</v>
      </c>
      <c r="J108" s="5" t="s">
        <v>690</v>
      </c>
      <c r="K108" s="5" t="s">
        <v>690</v>
      </c>
      <c r="L108" s="2" t="s">
        <v>24</v>
      </c>
      <c r="M108" s="1"/>
      <c r="N108" s="1"/>
      <c r="O108" s="22" t="s">
        <v>691</v>
      </c>
      <c r="P108" s="2"/>
      <c r="Q108" s="2"/>
      <c r="R108" s="2"/>
      <c r="S108" s="2"/>
      <c r="T108" s="2"/>
      <c r="U108" s="2"/>
      <c r="V108" s="2"/>
      <c r="W108" s="2"/>
      <c r="X108" s="2"/>
    </row>
    <row r="109" ht="15.75" customHeight="1">
      <c r="A109" s="1" t="s">
        <v>692</v>
      </c>
      <c r="B109" s="6">
        <v>1.120001171257E12</v>
      </c>
      <c r="C109" s="7" t="str">
        <f>HYPERLINK("https://ewell.co.jp/index.html","https://ewell.co.jp/index.html")</f>
        <v>https://ewell.co.jp/index.html</v>
      </c>
      <c r="D109" s="1" t="s">
        <v>90</v>
      </c>
      <c r="E109" s="2" t="s">
        <v>693</v>
      </c>
      <c r="F109" s="4" t="s">
        <v>58</v>
      </c>
      <c r="G109" s="4">
        <v>2012.0</v>
      </c>
      <c r="H109" s="1" t="s">
        <v>694</v>
      </c>
      <c r="I109" s="2" t="s">
        <v>93</v>
      </c>
      <c r="J109" s="5" t="s">
        <v>695</v>
      </c>
      <c r="K109" s="5" t="s">
        <v>695</v>
      </c>
      <c r="L109" s="2" t="s">
        <v>24</v>
      </c>
      <c r="M109" s="1"/>
      <c r="N109" s="1"/>
      <c r="O109" s="22" t="s">
        <v>696</v>
      </c>
      <c r="P109" s="2"/>
      <c r="Q109" s="2"/>
      <c r="R109" s="2"/>
      <c r="S109" s="2"/>
      <c r="T109" s="2"/>
      <c r="U109" s="2"/>
      <c r="V109" s="2"/>
      <c r="W109" s="2"/>
      <c r="X109" s="2"/>
    </row>
    <row r="110" ht="15.75" customHeight="1">
      <c r="A110" s="1" t="s">
        <v>697</v>
      </c>
      <c r="B110" s="6">
        <v>8.240001043116E12</v>
      </c>
      <c r="C110" s="7" t="str">
        <f>HYPERLINK("http://www.mirtel.co.jp/","http://www.mirtel.co.jp/")</f>
        <v>http://www.mirtel.co.jp/</v>
      </c>
      <c r="D110" s="1" t="s">
        <v>567</v>
      </c>
      <c r="E110" s="2" t="s">
        <v>698</v>
      </c>
      <c r="F110" s="4" t="s">
        <v>68</v>
      </c>
      <c r="G110" s="4">
        <v>2012.0</v>
      </c>
      <c r="H110" s="1" t="s">
        <v>699</v>
      </c>
      <c r="I110" s="2" t="s">
        <v>147</v>
      </c>
      <c r="J110" s="5" t="s">
        <v>700</v>
      </c>
      <c r="K110" s="5" t="s">
        <v>700</v>
      </c>
      <c r="L110" s="2" t="s">
        <v>24</v>
      </c>
      <c r="M110" s="1"/>
      <c r="N110" s="1"/>
      <c r="O110" s="22" t="s">
        <v>701</v>
      </c>
      <c r="P110" s="2"/>
      <c r="Q110" s="2"/>
      <c r="R110" s="2"/>
      <c r="S110" s="2"/>
      <c r="T110" s="2"/>
      <c r="U110" s="2"/>
      <c r="V110" s="2"/>
      <c r="W110" s="2"/>
      <c r="X110" s="2"/>
    </row>
    <row r="111" ht="15.75" customHeight="1">
      <c r="A111" s="1" t="s">
        <v>702</v>
      </c>
      <c r="B111" s="6">
        <v>4.010401103256E12</v>
      </c>
      <c r="C111" s="7" t="str">
        <f>HYPERLINK("http://doctorsmobile.jp/","http://doctorsmobile.jp/")</f>
        <v>http://doctorsmobile.jp/</v>
      </c>
      <c r="D111" s="1" t="s">
        <v>56</v>
      </c>
      <c r="E111" s="2" t="s">
        <v>703</v>
      </c>
      <c r="F111" s="4" t="s">
        <v>19</v>
      </c>
      <c r="G111" s="4">
        <v>2012.0</v>
      </c>
      <c r="H111" s="1" t="s">
        <v>704</v>
      </c>
      <c r="I111" s="2" t="s">
        <v>93</v>
      </c>
      <c r="J111" s="5" t="s">
        <v>705</v>
      </c>
      <c r="K111" s="5" t="s">
        <v>705</v>
      </c>
      <c r="L111" s="2" t="s">
        <v>24</v>
      </c>
      <c r="M111" s="1"/>
      <c r="N111" s="1"/>
      <c r="O111" s="22" t="s">
        <v>706</v>
      </c>
      <c r="P111" s="2"/>
      <c r="Q111" s="2"/>
      <c r="R111" s="2"/>
      <c r="S111" s="2"/>
      <c r="T111" s="2"/>
      <c r="U111" s="2"/>
      <c r="V111" s="2"/>
      <c r="W111" s="2"/>
      <c r="X111" s="2"/>
    </row>
    <row r="112" ht="15.75" customHeight="1">
      <c r="A112" s="1" t="s">
        <v>707</v>
      </c>
      <c r="B112" s="6">
        <v>9.011003004706E12</v>
      </c>
      <c r="C112" s="7" t="str">
        <f>HYPERLINK("http://unlog.co.jp/","http://unlog.co.jp/")</f>
        <v>http://unlog.co.jp/</v>
      </c>
      <c r="D112" s="13" t="s">
        <v>48</v>
      </c>
      <c r="E112" s="2" t="s">
        <v>708</v>
      </c>
      <c r="F112" s="4" t="s">
        <v>19</v>
      </c>
      <c r="G112" s="4">
        <v>2012.0</v>
      </c>
      <c r="H112" s="33" t="s">
        <v>709</v>
      </c>
      <c r="I112" s="2" t="s">
        <v>93</v>
      </c>
      <c r="J112" s="5" t="s">
        <v>710</v>
      </c>
      <c r="K112" s="14" t="s">
        <v>711</v>
      </c>
      <c r="L112" s="2" t="s">
        <v>24</v>
      </c>
      <c r="M112" s="1"/>
      <c r="N112" s="1"/>
      <c r="O112" s="7" t="s">
        <v>712</v>
      </c>
      <c r="P112" s="2"/>
      <c r="Q112" s="2"/>
      <c r="R112" s="2"/>
      <c r="S112" s="2"/>
      <c r="T112" s="2"/>
      <c r="U112" s="2"/>
      <c r="V112" s="2"/>
      <c r="W112" s="2"/>
      <c r="X112" s="2"/>
    </row>
    <row r="113" ht="15.75" customHeight="1">
      <c r="A113" s="1" t="s">
        <v>713</v>
      </c>
      <c r="B113" s="6">
        <v>1.010001149132E12</v>
      </c>
      <c r="C113" s="7" t="str">
        <f>HYPERLINK("https://jomdd.com/","https://jomdd.com/")</f>
        <v>https://jomdd.com/</v>
      </c>
      <c r="D113" s="1" t="s">
        <v>39</v>
      </c>
      <c r="E113" s="2" t="s">
        <v>714</v>
      </c>
      <c r="F113" s="4" t="s">
        <v>19</v>
      </c>
      <c r="G113" s="4">
        <v>2012.0</v>
      </c>
      <c r="H113" s="1" t="s">
        <v>715</v>
      </c>
      <c r="I113" s="2" t="s">
        <v>147</v>
      </c>
      <c r="J113" s="5" t="s">
        <v>716</v>
      </c>
      <c r="K113" s="14" t="s">
        <v>716</v>
      </c>
      <c r="L113" s="2" t="s">
        <v>24</v>
      </c>
      <c r="M113" s="1"/>
      <c r="N113" s="1"/>
      <c r="O113" s="22" t="s">
        <v>717</v>
      </c>
      <c r="P113" s="2"/>
      <c r="Q113" s="2"/>
      <c r="R113" s="2"/>
      <c r="S113" s="2"/>
      <c r="T113" s="2"/>
      <c r="U113" s="2"/>
      <c r="V113" s="2"/>
      <c r="W113" s="2"/>
      <c r="X113" s="2"/>
    </row>
    <row r="114" ht="15.75" customHeight="1">
      <c r="A114" s="1" t="s">
        <v>718</v>
      </c>
      <c r="B114" s="6">
        <v>8.010401099235E12</v>
      </c>
      <c r="C114" s="7" t="str">
        <f>HYPERLINK("https://finc.com/","https://finc.com/")</f>
        <v>https://finc.com/</v>
      </c>
      <c r="D114" s="13" t="s">
        <v>48</v>
      </c>
      <c r="E114" s="2" t="s">
        <v>719</v>
      </c>
      <c r="F114" s="4" t="s">
        <v>19</v>
      </c>
      <c r="G114" s="4">
        <v>2012.0</v>
      </c>
      <c r="H114" s="1" t="s">
        <v>720</v>
      </c>
      <c r="I114" s="2" t="s">
        <v>21</v>
      </c>
      <c r="J114" s="5" t="s">
        <v>721</v>
      </c>
      <c r="K114" s="14" t="s">
        <v>722</v>
      </c>
      <c r="L114" s="2" t="s">
        <v>24</v>
      </c>
      <c r="M114" s="1"/>
      <c r="N114" s="1" t="s">
        <v>723</v>
      </c>
      <c r="O114" s="22" t="s">
        <v>724</v>
      </c>
      <c r="P114" s="2"/>
      <c r="Q114" s="2"/>
      <c r="R114" s="2"/>
      <c r="S114" s="2"/>
      <c r="T114" s="2"/>
      <c r="U114" s="2"/>
      <c r="V114" s="2"/>
      <c r="W114" s="2"/>
      <c r="X114" s="2"/>
    </row>
    <row r="115" ht="15.75" customHeight="1">
      <c r="A115" s="1" t="s">
        <v>725</v>
      </c>
      <c r="B115" s="6">
        <v>1.010401101634E12</v>
      </c>
      <c r="C115" s="7" t="str">
        <f>HYPERLINK("http://www.officedeyasai.jp/","http://www.officedeyasai.jp/")</f>
        <v>http://www.officedeyasai.jp/</v>
      </c>
      <c r="D115" s="1" t="s">
        <v>152</v>
      </c>
      <c r="E115" s="20" t="s">
        <v>726</v>
      </c>
      <c r="F115" s="4" t="s">
        <v>19</v>
      </c>
      <c r="G115" s="4">
        <v>2012.0</v>
      </c>
      <c r="H115" s="1" t="s">
        <v>727</v>
      </c>
      <c r="I115" s="2" t="s">
        <v>147</v>
      </c>
      <c r="J115" s="5" t="s">
        <v>728</v>
      </c>
      <c r="K115" s="14" t="s">
        <v>729</v>
      </c>
      <c r="L115" s="2" t="s">
        <v>24</v>
      </c>
      <c r="M115" s="1"/>
      <c r="N115" s="1"/>
      <c r="O115" s="7" t="s">
        <v>730</v>
      </c>
      <c r="P115" s="2"/>
      <c r="Q115" s="2"/>
      <c r="R115" s="2"/>
      <c r="S115" s="2"/>
      <c r="T115" s="2"/>
      <c r="U115" s="2"/>
      <c r="V115" s="2"/>
      <c r="W115" s="2"/>
      <c r="X115" s="2"/>
    </row>
    <row r="116" ht="15.75" customHeight="1">
      <c r="A116" s="1" t="s">
        <v>731</v>
      </c>
      <c r="B116" s="6">
        <v>2.01170500118E12</v>
      </c>
      <c r="C116" s="7" t="str">
        <f>HYPERLINK("http://www.mnys.jp/","http://www.mnys.jp/")</f>
        <v>http://www.mnys.jp/</v>
      </c>
      <c r="D116" s="1" t="s">
        <v>549</v>
      </c>
      <c r="E116" s="2" t="s">
        <v>732</v>
      </c>
      <c r="F116" s="4" t="s">
        <v>19</v>
      </c>
      <c r="G116" s="4">
        <v>2012.0</v>
      </c>
      <c r="H116" s="1" t="s">
        <v>733</v>
      </c>
      <c r="I116" s="2" t="s">
        <v>21</v>
      </c>
      <c r="J116" s="5" t="s">
        <v>734</v>
      </c>
      <c r="K116" s="14" t="s">
        <v>734</v>
      </c>
      <c r="L116" s="2" t="s">
        <v>24</v>
      </c>
      <c r="M116" s="1"/>
      <c r="N116" s="1" t="s">
        <v>735</v>
      </c>
      <c r="O116" s="22" t="s">
        <v>736</v>
      </c>
      <c r="P116" s="2"/>
      <c r="Q116" s="2"/>
      <c r="R116" s="2"/>
      <c r="S116" s="2"/>
      <c r="T116" s="2"/>
      <c r="U116" s="2"/>
      <c r="V116" s="2"/>
      <c r="W116" s="2"/>
      <c r="X116" s="2"/>
    </row>
    <row r="117" ht="15.75" customHeight="1">
      <c r="A117" s="1" t="s">
        <v>737</v>
      </c>
      <c r="B117" s="34" t="s">
        <v>738</v>
      </c>
      <c r="C117" s="7" t="str">
        <f>HYPERLINK("https://company.okan.jp/","https://company.okan.jp/")</f>
        <v>https://company.okan.jp/</v>
      </c>
      <c r="D117" s="1" t="s">
        <v>152</v>
      </c>
      <c r="E117" s="2" t="s">
        <v>739</v>
      </c>
      <c r="F117" s="4" t="s">
        <v>19</v>
      </c>
      <c r="G117" s="4">
        <v>2012.0</v>
      </c>
      <c r="H117" s="35" t="s">
        <v>740</v>
      </c>
      <c r="I117" s="2" t="s">
        <v>21</v>
      </c>
      <c r="J117" s="5" t="s">
        <v>741</v>
      </c>
      <c r="K117" s="36" t="s">
        <v>741</v>
      </c>
      <c r="L117" s="2" t="s">
        <v>24</v>
      </c>
      <c r="M117" s="1"/>
      <c r="N117" s="1"/>
      <c r="O117" s="7" t="s">
        <v>742</v>
      </c>
      <c r="P117" s="2"/>
      <c r="Q117" s="2"/>
      <c r="R117" s="2"/>
      <c r="S117" s="2"/>
      <c r="T117" s="2"/>
      <c r="U117" s="2"/>
      <c r="V117" s="2"/>
      <c r="W117" s="2"/>
      <c r="X117" s="2"/>
    </row>
    <row r="118" ht="15.75" customHeight="1">
      <c r="A118" s="1" t="s">
        <v>743</v>
      </c>
      <c r="B118" s="34" t="s">
        <v>744</v>
      </c>
      <c r="C118" s="7" t="s">
        <v>745</v>
      </c>
      <c r="D118" s="1" t="s">
        <v>179</v>
      </c>
      <c r="E118" s="2" t="s">
        <v>746</v>
      </c>
      <c r="F118" s="4" t="s">
        <v>19</v>
      </c>
      <c r="G118" s="4">
        <v>2012.0</v>
      </c>
      <c r="H118" s="1" t="s">
        <v>747</v>
      </c>
      <c r="I118" s="2" t="s">
        <v>147</v>
      </c>
      <c r="J118" s="5" t="s">
        <v>748</v>
      </c>
      <c r="K118" s="14" t="s">
        <v>748</v>
      </c>
      <c r="L118" s="2" t="s">
        <v>52</v>
      </c>
      <c r="M118" s="1" t="s">
        <v>749</v>
      </c>
      <c r="N118" s="1"/>
      <c r="O118" s="7" t="s">
        <v>750</v>
      </c>
      <c r="P118" s="2"/>
      <c r="Q118" s="2"/>
      <c r="R118" s="2"/>
      <c r="S118" s="2"/>
      <c r="T118" s="2"/>
      <c r="U118" s="2"/>
      <c r="V118" s="2"/>
      <c r="W118" s="2"/>
      <c r="X118" s="2"/>
    </row>
    <row r="119" ht="15.75" customHeight="1">
      <c r="A119" s="1" t="s">
        <v>751</v>
      </c>
      <c r="B119" s="34" t="s">
        <v>752</v>
      </c>
      <c r="C119" s="7" t="str">
        <f>HYPERLINK("http://www.recovery-group.co.jp/company/","http://www.recovery-group.co.jp/company/")</f>
        <v>http://www.recovery-group.co.jp/company/</v>
      </c>
      <c r="D119" s="1" t="s">
        <v>239</v>
      </c>
      <c r="E119" s="2" t="s">
        <v>753</v>
      </c>
      <c r="F119" s="4" t="s">
        <v>19</v>
      </c>
      <c r="G119" s="4">
        <v>2012.0</v>
      </c>
      <c r="H119" s="1" t="s">
        <v>754</v>
      </c>
      <c r="I119" s="2"/>
      <c r="J119" s="5" t="s">
        <v>755</v>
      </c>
      <c r="K119" s="14" t="s">
        <v>755</v>
      </c>
      <c r="L119" s="2" t="s">
        <v>24</v>
      </c>
      <c r="M119" s="1"/>
      <c r="N119" s="1"/>
      <c r="O119" s="7" t="s">
        <v>756</v>
      </c>
      <c r="P119" s="2"/>
      <c r="Q119" s="2"/>
      <c r="R119" s="2"/>
      <c r="S119" s="2"/>
      <c r="T119" s="2"/>
      <c r="U119" s="2"/>
      <c r="V119" s="2"/>
      <c r="W119" s="2"/>
      <c r="X119" s="2"/>
    </row>
    <row r="120" ht="15.75" customHeight="1">
      <c r="A120" s="1" t="s">
        <v>757</v>
      </c>
      <c r="B120" s="34" t="s">
        <v>758</v>
      </c>
      <c r="C120" s="7" t="str">
        <f>HYPERLINK("http://jigh.org/","http://jigh.org/")</f>
        <v>http://jigh.org/</v>
      </c>
      <c r="D120" s="1" t="s">
        <v>187</v>
      </c>
      <c r="E120" s="2" t="s">
        <v>759</v>
      </c>
      <c r="F120" s="4" t="s">
        <v>19</v>
      </c>
      <c r="G120" s="4">
        <v>2012.0</v>
      </c>
      <c r="H120" s="1" t="s">
        <v>760</v>
      </c>
      <c r="I120" s="2"/>
      <c r="J120" s="5" t="s">
        <v>761</v>
      </c>
      <c r="K120" s="14" t="s">
        <v>761</v>
      </c>
      <c r="L120" s="2" t="s">
        <v>24</v>
      </c>
      <c r="M120" s="1"/>
      <c r="N120" s="1"/>
      <c r="O120" s="7" t="s">
        <v>762</v>
      </c>
      <c r="P120" s="2"/>
      <c r="Q120" s="2"/>
      <c r="R120" s="2"/>
      <c r="S120" s="2"/>
      <c r="T120" s="2"/>
      <c r="U120" s="2"/>
      <c r="V120" s="2"/>
      <c r="W120" s="2"/>
      <c r="X120" s="2"/>
    </row>
    <row r="121" ht="15.75" customHeight="1">
      <c r="A121" s="1" t="s">
        <v>763</v>
      </c>
      <c r="B121" s="34" t="s">
        <v>764</v>
      </c>
      <c r="C121" s="7" t="str">
        <f>HYPERLINK("http://coffeedoctors.jp/","http://coffeedoctors.jp/")</f>
        <v>http://coffeedoctors.jp/</v>
      </c>
      <c r="D121" s="1" t="s">
        <v>187</v>
      </c>
      <c r="E121" s="2" t="s">
        <v>765</v>
      </c>
      <c r="F121" s="4" t="s">
        <v>355</v>
      </c>
      <c r="G121" s="4">
        <v>2012.0</v>
      </c>
      <c r="H121" s="1" t="s">
        <v>766</v>
      </c>
      <c r="I121" s="2"/>
      <c r="J121" s="5" t="s">
        <v>767</v>
      </c>
      <c r="K121" s="14" t="s">
        <v>767</v>
      </c>
      <c r="L121" s="2" t="s">
        <v>24</v>
      </c>
      <c r="M121" s="1"/>
      <c r="N121" s="1"/>
      <c r="O121" s="7" t="s">
        <v>768</v>
      </c>
      <c r="P121" s="2"/>
      <c r="Q121" s="2"/>
      <c r="R121" s="2"/>
      <c r="S121" s="2"/>
      <c r="T121" s="2"/>
      <c r="U121" s="2"/>
      <c r="V121" s="2"/>
      <c r="W121" s="2"/>
      <c r="X121" s="2"/>
    </row>
    <row r="122" ht="15.75" customHeight="1">
      <c r="A122" s="1" t="s">
        <v>769</v>
      </c>
      <c r="B122" s="34" t="s">
        <v>770</v>
      </c>
      <c r="C122" s="7" t="str">
        <f>HYPERLINK("http://dricos.co.jp/","http://dricos.co.jp/")</f>
        <v>http://dricos.co.jp/</v>
      </c>
      <c r="D122" s="13" t="s">
        <v>74</v>
      </c>
      <c r="E122" s="2" t="s">
        <v>771</v>
      </c>
      <c r="F122" s="4" t="s">
        <v>19</v>
      </c>
      <c r="G122" s="4">
        <v>2012.0</v>
      </c>
      <c r="H122" s="1" t="s">
        <v>772</v>
      </c>
      <c r="I122" s="2"/>
      <c r="J122" s="5" t="s">
        <v>773</v>
      </c>
      <c r="K122" s="14" t="s">
        <v>773</v>
      </c>
      <c r="L122" s="2" t="s">
        <v>24</v>
      </c>
      <c r="M122" s="1"/>
      <c r="N122" s="1"/>
      <c r="O122" s="7" t="s">
        <v>774</v>
      </c>
      <c r="P122" s="2"/>
      <c r="Q122" s="2"/>
      <c r="R122" s="2"/>
      <c r="S122" s="2"/>
      <c r="T122" s="2"/>
      <c r="U122" s="2"/>
      <c r="V122" s="2"/>
      <c r="W122" s="2"/>
      <c r="X122" s="2"/>
    </row>
    <row r="123" ht="15.75" customHeight="1">
      <c r="A123" s="1" t="s">
        <v>775</v>
      </c>
      <c r="B123" s="37" t="s">
        <v>776</v>
      </c>
      <c r="C123" s="12" t="s">
        <v>777</v>
      </c>
      <c r="D123" s="1" t="s">
        <v>179</v>
      </c>
      <c r="E123" s="2" t="s">
        <v>778</v>
      </c>
      <c r="F123" s="4" t="s">
        <v>19</v>
      </c>
      <c r="G123" s="4">
        <v>2013.0</v>
      </c>
      <c r="H123" s="1" t="s">
        <v>779</v>
      </c>
      <c r="I123" s="2" t="s">
        <v>147</v>
      </c>
      <c r="J123" s="5" t="s">
        <v>780</v>
      </c>
      <c r="K123" s="14" t="s">
        <v>780</v>
      </c>
      <c r="L123" s="2" t="s">
        <v>24</v>
      </c>
      <c r="M123" s="1"/>
      <c r="N123" s="1"/>
      <c r="O123" s="7" t="s">
        <v>781</v>
      </c>
      <c r="P123" s="2"/>
      <c r="Q123" s="2"/>
      <c r="R123" s="2"/>
      <c r="S123" s="2"/>
      <c r="T123" s="2"/>
      <c r="U123" s="2"/>
      <c r="V123" s="2"/>
      <c r="W123" s="2"/>
      <c r="X123" s="2"/>
    </row>
    <row r="124" ht="15.75" customHeight="1">
      <c r="A124" s="1" t="s">
        <v>782</v>
      </c>
      <c r="B124" s="34" t="s">
        <v>783</v>
      </c>
      <c r="C124" s="7" t="s">
        <v>784</v>
      </c>
      <c r="D124" s="1" t="s">
        <v>266</v>
      </c>
      <c r="E124" s="2" t="s">
        <v>785</v>
      </c>
      <c r="F124" s="4" t="s">
        <v>41</v>
      </c>
      <c r="G124" s="4">
        <v>2013.0</v>
      </c>
      <c r="H124" s="1" t="s">
        <v>786</v>
      </c>
      <c r="I124" s="2" t="s">
        <v>147</v>
      </c>
      <c r="J124" s="5" t="s">
        <v>787</v>
      </c>
      <c r="K124" s="14" t="s">
        <v>787</v>
      </c>
      <c r="L124" s="2" t="s">
        <v>24</v>
      </c>
      <c r="M124" s="1"/>
      <c r="N124" s="1"/>
      <c r="O124" s="7" t="s">
        <v>788</v>
      </c>
      <c r="P124" s="2"/>
      <c r="Q124" s="2"/>
      <c r="R124" s="2"/>
      <c r="S124" s="2"/>
      <c r="T124" s="2"/>
      <c r="U124" s="2"/>
      <c r="V124" s="2"/>
      <c r="W124" s="2"/>
      <c r="X124" s="2"/>
    </row>
    <row r="125" ht="15.75" customHeight="1">
      <c r="A125" s="1" t="s">
        <v>789</v>
      </c>
      <c r="B125" s="34" t="s">
        <v>790</v>
      </c>
      <c r="C125" s="7" t="str">
        <f>HYPERLINK("https://neurospace.jp/","https://neurospace.jp/")</f>
        <v>https://neurospace.jp/</v>
      </c>
      <c r="D125" s="1" t="s">
        <v>152</v>
      </c>
      <c r="E125" s="2" t="s">
        <v>791</v>
      </c>
      <c r="F125" s="4" t="s">
        <v>19</v>
      </c>
      <c r="G125" s="4">
        <v>2013.0</v>
      </c>
      <c r="H125" s="1" t="s">
        <v>792</v>
      </c>
      <c r="I125" s="2" t="s">
        <v>147</v>
      </c>
      <c r="J125" s="5" t="s">
        <v>793</v>
      </c>
      <c r="K125" s="14" t="s">
        <v>793</v>
      </c>
      <c r="L125" s="2" t="s">
        <v>24</v>
      </c>
      <c r="M125" s="1"/>
      <c r="N125" s="1"/>
      <c r="O125" s="7" t="s">
        <v>794</v>
      </c>
      <c r="P125" s="2"/>
      <c r="Q125" s="2"/>
      <c r="R125" s="2"/>
      <c r="S125" s="2"/>
      <c r="T125" s="2"/>
      <c r="U125" s="2"/>
      <c r="V125" s="2"/>
      <c r="W125" s="2"/>
      <c r="X125" s="2"/>
    </row>
    <row r="126" ht="15.75" customHeight="1">
      <c r="A126" s="1" t="s">
        <v>795</v>
      </c>
      <c r="B126" s="34" t="s">
        <v>796</v>
      </c>
      <c r="C126" s="7" t="str">
        <f>HYPERLINK("https://genequest.jp/","https://genequest.jp/")</f>
        <v>https://genequest.jp/</v>
      </c>
      <c r="D126" s="1" t="s">
        <v>567</v>
      </c>
      <c r="E126" s="2" t="s">
        <v>797</v>
      </c>
      <c r="F126" s="4" t="s">
        <v>19</v>
      </c>
      <c r="G126" s="4">
        <v>2013.0</v>
      </c>
      <c r="H126" s="1" t="s">
        <v>798</v>
      </c>
      <c r="I126" s="2" t="s">
        <v>147</v>
      </c>
      <c r="J126" s="5" t="s">
        <v>799</v>
      </c>
      <c r="K126" s="5" t="s">
        <v>799</v>
      </c>
      <c r="L126" s="2" t="s">
        <v>52</v>
      </c>
      <c r="M126" s="1" t="s">
        <v>800</v>
      </c>
      <c r="N126" s="1"/>
      <c r="O126" s="7" t="s">
        <v>801</v>
      </c>
      <c r="P126" s="2"/>
      <c r="Q126" s="2"/>
      <c r="R126" s="2"/>
      <c r="S126" s="2"/>
      <c r="T126" s="2"/>
      <c r="U126" s="2"/>
      <c r="V126" s="2"/>
      <c r="W126" s="2"/>
      <c r="X126" s="2"/>
    </row>
    <row r="127" ht="15.75" customHeight="1">
      <c r="A127" s="1" t="s">
        <v>802</v>
      </c>
      <c r="B127" s="34" t="s">
        <v>803</v>
      </c>
      <c r="C127" s="7" t="s">
        <v>804</v>
      </c>
      <c r="D127" s="1" t="s">
        <v>567</v>
      </c>
      <c r="E127" s="2" t="s">
        <v>805</v>
      </c>
      <c r="F127" s="4" t="s">
        <v>19</v>
      </c>
      <c r="G127" s="4">
        <v>2013.0</v>
      </c>
      <c r="H127" s="1" t="s">
        <v>806</v>
      </c>
      <c r="I127" s="2" t="s">
        <v>147</v>
      </c>
      <c r="J127" s="5" t="s">
        <v>807</v>
      </c>
      <c r="K127" s="5" t="s">
        <v>807</v>
      </c>
      <c r="L127" s="2" t="s">
        <v>24</v>
      </c>
      <c r="M127" s="1"/>
      <c r="N127" s="1"/>
      <c r="O127" s="7" t="s">
        <v>808</v>
      </c>
      <c r="P127" s="2"/>
      <c r="Q127" s="2"/>
      <c r="R127" s="2"/>
      <c r="S127" s="2"/>
      <c r="T127" s="2"/>
      <c r="U127" s="2"/>
      <c r="V127" s="2"/>
      <c r="W127" s="2"/>
      <c r="X127" s="2"/>
    </row>
    <row r="128" ht="15.75" customHeight="1">
      <c r="A128" s="1" t="s">
        <v>809</v>
      </c>
      <c r="B128" s="34" t="s">
        <v>810</v>
      </c>
      <c r="C128" s="7" t="s">
        <v>811</v>
      </c>
      <c r="D128" s="1" t="s">
        <v>239</v>
      </c>
      <c r="E128" s="2" t="s">
        <v>812</v>
      </c>
      <c r="F128" s="4" t="s">
        <v>19</v>
      </c>
      <c r="G128" s="4">
        <v>2013.0</v>
      </c>
      <c r="H128" s="1" t="s">
        <v>813</v>
      </c>
      <c r="I128" s="2" t="s">
        <v>21</v>
      </c>
      <c r="J128" s="5" t="s">
        <v>814</v>
      </c>
      <c r="K128" s="5" t="s">
        <v>814</v>
      </c>
      <c r="L128" s="2" t="s">
        <v>24</v>
      </c>
      <c r="M128" s="1"/>
      <c r="N128" s="1"/>
      <c r="O128" s="7" t="s">
        <v>815</v>
      </c>
      <c r="P128" s="2"/>
      <c r="Q128" s="2"/>
      <c r="R128" s="2"/>
      <c r="S128" s="2"/>
      <c r="T128" s="2"/>
      <c r="U128" s="2"/>
      <c r="V128" s="2"/>
      <c r="W128" s="2"/>
      <c r="X128" s="2"/>
    </row>
    <row r="129" ht="15.75" customHeight="1">
      <c r="A129" s="1" t="s">
        <v>816</v>
      </c>
      <c r="B129" s="34" t="s">
        <v>817</v>
      </c>
      <c r="C129" s="7" t="str">
        <f>HYPERLINK("https://clinical-platform.com/","https://clinical-platform.com/")</f>
        <v>https://clinical-platform.com/</v>
      </c>
      <c r="D129" s="1" t="s">
        <v>56</v>
      </c>
      <c r="E129" s="2" t="s">
        <v>818</v>
      </c>
      <c r="F129" s="4" t="s">
        <v>19</v>
      </c>
      <c r="G129" s="4">
        <v>2013.0</v>
      </c>
      <c r="H129" s="1" t="s">
        <v>819</v>
      </c>
      <c r="I129" s="2" t="s">
        <v>147</v>
      </c>
      <c r="J129" s="5" t="s">
        <v>820</v>
      </c>
      <c r="K129" s="14" t="s">
        <v>820</v>
      </c>
      <c r="L129" s="2" t="s">
        <v>52</v>
      </c>
      <c r="M129" s="1" t="s">
        <v>821</v>
      </c>
      <c r="N129" s="1"/>
      <c r="O129" s="7" t="s">
        <v>822</v>
      </c>
      <c r="P129" s="2"/>
      <c r="Q129" s="2"/>
      <c r="R129" s="2"/>
      <c r="S129" s="2"/>
      <c r="T129" s="2"/>
      <c r="U129" s="2"/>
      <c r="V129" s="2"/>
      <c r="W129" s="2"/>
      <c r="X129" s="2"/>
    </row>
    <row r="130" ht="15.75" customHeight="1">
      <c r="A130" s="1" t="s">
        <v>823</v>
      </c>
      <c r="B130" s="34" t="s">
        <v>824</v>
      </c>
      <c r="C130" s="7" t="str">
        <f>HYPERLINK("https://xirapha.jp/company/","https://xirapha.jp/company/")</f>
        <v>https://xirapha.jp/company/</v>
      </c>
      <c r="D130" s="1" t="s">
        <v>82</v>
      </c>
      <c r="E130" s="20" t="s">
        <v>825</v>
      </c>
      <c r="F130" s="4" t="s">
        <v>41</v>
      </c>
      <c r="G130" s="4">
        <v>2013.0</v>
      </c>
      <c r="H130" s="1" t="s">
        <v>826</v>
      </c>
      <c r="I130" s="2" t="s">
        <v>147</v>
      </c>
      <c r="J130" s="5" t="s">
        <v>827</v>
      </c>
      <c r="K130" s="14" t="s">
        <v>828</v>
      </c>
      <c r="L130" s="2" t="s">
        <v>24</v>
      </c>
      <c r="M130" s="1"/>
      <c r="N130" s="1"/>
      <c r="O130" s="7" t="s">
        <v>829</v>
      </c>
      <c r="P130" s="2"/>
      <c r="Q130" s="2"/>
      <c r="R130" s="2"/>
      <c r="S130" s="2"/>
      <c r="T130" s="2"/>
      <c r="U130" s="2"/>
      <c r="V130" s="2"/>
      <c r="W130" s="2"/>
      <c r="X130" s="2"/>
    </row>
    <row r="131" ht="15.75" customHeight="1">
      <c r="A131" s="1" t="s">
        <v>830</v>
      </c>
      <c r="B131" s="34" t="s">
        <v>831</v>
      </c>
      <c r="C131" s="7" t="str">
        <f>HYPERLINK("https://www.drjoy.jp/","https://www.drjoy.jp/")</f>
        <v>https://www.drjoy.jp/</v>
      </c>
      <c r="D131" s="1" t="s">
        <v>56</v>
      </c>
      <c r="E131" s="2" t="s">
        <v>832</v>
      </c>
      <c r="F131" s="4" t="s">
        <v>19</v>
      </c>
      <c r="G131" s="4">
        <v>2013.0</v>
      </c>
      <c r="H131" s="1" t="s">
        <v>833</v>
      </c>
      <c r="I131" s="2" t="s">
        <v>70</v>
      </c>
      <c r="J131" s="5" t="s">
        <v>834</v>
      </c>
      <c r="K131" s="14" t="s">
        <v>834</v>
      </c>
      <c r="L131" s="2" t="s">
        <v>24</v>
      </c>
      <c r="M131" s="1"/>
      <c r="N131" s="1" t="s">
        <v>835</v>
      </c>
      <c r="O131" s="7" t="s">
        <v>836</v>
      </c>
      <c r="P131" s="2"/>
      <c r="Q131" s="2"/>
      <c r="R131" s="2"/>
      <c r="S131" s="2"/>
      <c r="T131" s="2"/>
      <c r="U131" s="2"/>
      <c r="V131" s="2"/>
      <c r="W131" s="2"/>
      <c r="X131" s="2"/>
    </row>
    <row r="132" ht="15.75" customHeight="1">
      <c r="A132" s="1" t="s">
        <v>837</v>
      </c>
      <c r="B132" s="34" t="s">
        <v>838</v>
      </c>
      <c r="C132" s="7" t="str">
        <f>HYPERLINK("https://unifa-e.com/","https://unifa-e.com/")</f>
        <v>https://unifa-e.com/</v>
      </c>
      <c r="D132" s="13" t="s">
        <v>48</v>
      </c>
      <c r="E132" s="2" t="s">
        <v>839</v>
      </c>
      <c r="F132" s="4" t="s">
        <v>19</v>
      </c>
      <c r="G132" s="4">
        <v>2013.0</v>
      </c>
      <c r="H132" s="1" t="s">
        <v>840</v>
      </c>
      <c r="I132" s="2" t="s">
        <v>21</v>
      </c>
      <c r="J132" s="5" t="s">
        <v>841</v>
      </c>
      <c r="K132" s="14" t="s">
        <v>841</v>
      </c>
      <c r="L132" s="2" t="s">
        <v>24</v>
      </c>
      <c r="M132" s="1"/>
      <c r="N132" s="1"/>
      <c r="O132" s="7" t="s">
        <v>842</v>
      </c>
      <c r="P132" s="2"/>
      <c r="Q132" s="2"/>
      <c r="R132" s="2"/>
      <c r="S132" s="2"/>
      <c r="T132" s="2"/>
      <c r="U132" s="2"/>
      <c r="V132" s="2"/>
      <c r="W132" s="2"/>
      <c r="X132" s="2"/>
    </row>
    <row r="133" ht="15.75" customHeight="1">
      <c r="A133" s="1" t="s">
        <v>843</v>
      </c>
      <c r="B133" s="34" t="s">
        <v>844</v>
      </c>
      <c r="C133" s="7" t="str">
        <f>HYPERLINK("https://eversense.co.jp/","https://eversense.co.jp/")</f>
        <v>https://eversense.co.jp/</v>
      </c>
      <c r="D133" s="1" t="s">
        <v>17</v>
      </c>
      <c r="E133" s="2" t="s">
        <v>845</v>
      </c>
      <c r="F133" s="4" t="s">
        <v>19</v>
      </c>
      <c r="G133" s="4">
        <v>2013.0</v>
      </c>
      <c r="H133" s="1" t="s">
        <v>846</v>
      </c>
      <c r="I133" s="2" t="s">
        <v>147</v>
      </c>
      <c r="J133" s="5" t="s">
        <v>847</v>
      </c>
      <c r="K133" s="14" t="s">
        <v>847</v>
      </c>
      <c r="L133" s="2" t="s">
        <v>24</v>
      </c>
      <c r="M133" s="1"/>
      <c r="N133" s="1" t="s">
        <v>848</v>
      </c>
      <c r="O133" s="7" t="s">
        <v>849</v>
      </c>
      <c r="P133" s="2"/>
      <c r="Q133" s="2"/>
      <c r="R133" s="2"/>
      <c r="S133" s="2"/>
      <c r="T133" s="2"/>
      <c r="U133" s="2"/>
      <c r="V133" s="2"/>
      <c r="W133" s="2"/>
      <c r="X133" s="2"/>
    </row>
    <row r="134" ht="15.75" customHeight="1">
      <c r="A134" s="1" t="s">
        <v>850</v>
      </c>
      <c r="B134" s="34" t="s">
        <v>851</v>
      </c>
      <c r="C134" s="7" t="str">
        <f>HYPERLINK("https://doctorbook.co.jp/","https://doctorbook.co.jp/")</f>
        <v>https://doctorbook.co.jp/</v>
      </c>
      <c r="D134" s="1" t="s">
        <v>17</v>
      </c>
      <c r="E134" s="2" t="s">
        <v>852</v>
      </c>
      <c r="F134" s="4" t="s">
        <v>19</v>
      </c>
      <c r="G134" s="4">
        <v>2013.0</v>
      </c>
      <c r="H134" s="1" t="s">
        <v>853</v>
      </c>
      <c r="I134" s="2"/>
      <c r="J134" s="5" t="s">
        <v>854</v>
      </c>
      <c r="K134" s="14" t="s">
        <v>854</v>
      </c>
      <c r="L134" s="2" t="s">
        <v>24</v>
      </c>
      <c r="M134" s="1"/>
      <c r="N134" s="1"/>
      <c r="O134" s="22" t="s">
        <v>855</v>
      </c>
      <c r="P134" s="2"/>
      <c r="Q134" s="2"/>
      <c r="R134" s="2"/>
      <c r="S134" s="2"/>
      <c r="T134" s="2"/>
      <c r="U134" s="2"/>
      <c r="V134" s="2"/>
      <c r="W134" s="2"/>
      <c r="X134" s="2"/>
    </row>
    <row r="135" ht="15.75" customHeight="1">
      <c r="A135" s="1" t="s">
        <v>856</v>
      </c>
      <c r="B135" s="34" t="s">
        <v>857</v>
      </c>
      <c r="C135" s="7" t="str">
        <f>HYPERLINK("https://jp.moff.mobi/","https://jp.moff.mobi/")</f>
        <v>https://jp.moff.mobi/</v>
      </c>
      <c r="D135" s="1" t="s">
        <v>239</v>
      </c>
      <c r="E135" s="2" t="s">
        <v>858</v>
      </c>
      <c r="F135" s="4" t="s">
        <v>19</v>
      </c>
      <c r="G135" s="4">
        <v>2013.0</v>
      </c>
      <c r="H135" s="1" t="s">
        <v>859</v>
      </c>
      <c r="I135" s="2" t="s">
        <v>147</v>
      </c>
      <c r="J135" s="5" t="s">
        <v>860</v>
      </c>
      <c r="K135" s="14" t="s">
        <v>861</v>
      </c>
      <c r="L135" s="2" t="s">
        <v>24</v>
      </c>
      <c r="M135" s="1"/>
      <c r="N135" s="1"/>
      <c r="O135" s="7" t="s">
        <v>862</v>
      </c>
      <c r="P135" s="2"/>
      <c r="Q135" s="2"/>
      <c r="R135" s="2"/>
      <c r="S135" s="2"/>
      <c r="T135" s="2"/>
      <c r="U135" s="2"/>
      <c r="V135" s="2"/>
      <c r="W135" s="2"/>
      <c r="X135" s="2"/>
    </row>
    <row r="136" ht="15.75" customHeight="1">
      <c r="A136" s="1" t="s">
        <v>863</v>
      </c>
      <c r="B136" s="34" t="s">
        <v>864</v>
      </c>
      <c r="C136" s="7" t="str">
        <f>HYPERLINK("http://www.yukashikado.co.jp/","http://www.yukashikado.co.jp/")</f>
        <v>http://www.yukashikado.co.jp/</v>
      </c>
      <c r="D136" s="1" t="s">
        <v>567</v>
      </c>
      <c r="E136" s="2" t="s">
        <v>865</v>
      </c>
      <c r="F136" s="4" t="s">
        <v>19</v>
      </c>
      <c r="G136" s="4">
        <v>2013.0</v>
      </c>
      <c r="H136" s="1" t="s">
        <v>866</v>
      </c>
      <c r="I136" s="2" t="s">
        <v>147</v>
      </c>
      <c r="J136" s="5" t="s">
        <v>867</v>
      </c>
      <c r="K136" s="14" t="s">
        <v>867</v>
      </c>
      <c r="L136" s="2" t="s">
        <v>24</v>
      </c>
      <c r="M136" s="1"/>
      <c r="N136" s="1"/>
      <c r="O136" s="7" t="s">
        <v>868</v>
      </c>
      <c r="P136" s="2"/>
      <c r="Q136" s="2"/>
      <c r="R136" s="2"/>
      <c r="S136" s="2"/>
      <c r="T136" s="2"/>
      <c r="U136" s="2"/>
      <c r="V136" s="2"/>
      <c r="W136" s="2"/>
      <c r="X136" s="2"/>
    </row>
    <row r="137" ht="15.75" customHeight="1">
      <c r="A137" s="1" t="s">
        <v>869</v>
      </c>
      <c r="B137" s="34" t="s">
        <v>870</v>
      </c>
      <c r="C137" s="7" t="str">
        <f>HYPERLINK("http://quantumbiosystems.com/","http://quantumbiosystems.com/")</f>
        <v>http://quantumbiosystems.com/</v>
      </c>
      <c r="D137" s="1" t="s">
        <v>567</v>
      </c>
      <c r="E137" s="2" t="s">
        <v>871</v>
      </c>
      <c r="F137" s="4" t="s">
        <v>19</v>
      </c>
      <c r="G137" s="4">
        <v>2013.0</v>
      </c>
      <c r="H137" s="1" t="s">
        <v>872</v>
      </c>
      <c r="I137" s="2" t="s">
        <v>147</v>
      </c>
      <c r="J137" s="5" t="s">
        <v>873</v>
      </c>
      <c r="K137" s="14" t="s">
        <v>874</v>
      </c>
      <c r="L137" s="2" t="s">
        <v>24</v>
      </c>
      <c r="M137" s="1"/>
      <c r="N137" s="1"/>
      <c r="O137" s="7" t="s">
        <v>875</v>
      </c>
      <c r="P137" s="2"/>
      <c r="Q137" s="2"/>
      <c r="R137" s="2"/>
      <c r="S137" s="2"/>
      <c r="T137" s="2"/>
      <c r="U137" s="2"/>
      <c r="V137" s="2"/>
      <c r="W137" s="2"/>
      <c r="X137" s="2"/>
    </row>
    <row r="138" ht="15.75" customHeight="1">
      <c r="A138" s="1" t="s">
        <v>876</v>
      </c>
      <c r="B138" s="38" t="s">
        <v>877</v>
      </c>
      <c r="C138" s="7" t="str">
        <f>HYPERLINK("https://1post.jp/","https://1post.jp/")</f>
        <v>https://1post.jp/</v>
      </c>
      <c r="D138" s="1" t="s">
        <v>187</v>
      </c>
      <c r="E138" s="39" t="s">
        <v>878</v>
      </c>
      <c r="F138" s="4" t="s">
        <v>19</v>
      </c>
      <c r="G138" s="4">
        <v>2013.0</v>
      </c>
      <c r="H138" s="1" t="s">
        <v>879</v>
      </c>
      <c r="I138" s="2"/>
      <c r="J138" s="5" t="s">
        <v>880</v>
      </c>
      <c r="K138" s="9" t="s">
        <v>881</v>
      </c>
      <c r="L138" s="2" t="s">
        <v>24</v>
      </c>
      <c r="M138" s="1" t="s">
        <v>192</v>
      </c>
      <c r="N138" s="1"/>
      <c r="O138" s="7" t="s">
        <v>882</v>
      </c>
      <c r="P138" s="2"/>
      <c r="Q138" s="2"/>
      <c r="R138" s="2"/>
      <c r="S138" s="2"/>
      <c r="T138" s="2"/>
      <c r="U138" s="2"/>
      <c r="V138" s="2"/>
      <c r="W138" s="2"/>
      <c r="X138" s="2"/>
    </row>
    <row r="139" ht="15.75" customHeight="1">
      <c r="A139" s="1" t="s">
        <v>883</v>
      </c>
      <c r="B139" s="40" t="s">
        <v>884</v>
      </c>
      <c r="C139" s="7" t="s">
        <v>885</v>
      </c>
      <c r="D139" s="1" t="s">
        <v>266</v>
      </c>
      <c r="E139" s="2" t="s">
        <v>886</v>
      </c>
      <c r="F139" s="4" t="s">
        <v>19</v>
      </c>
      <c r="G139" s="4">
        <v>2013.0</v>
      </c>
      <c r="H139" s="1" t="s">
        <v>887</v>
      </c>
      <c r="I139" s="2"/>
      <c r="J139" s="5" t="s">
        <v>888</v>
      </c>
      <c r="K139" s="9" t="s">
        <v>888</v>
      </c>
      <c r="L139" s="2" t="s">
        <v>24</v>
      </c>
      <c r="M139" s="1"/>
      <c r="N139" s="1"/>
      <c r="O139" s="7" t="s">
        <v>889</v>
      </c>
      <c r="P139" s="2"/>
      <c r="Q139" s="2"/>
      <c r="R139" s="2"/>
      <c r="S139" s="2"/>
      <c r="T139" s="2"/>
      <c r="U139" s="2"/>
      <c r="V139" s="2"/>
      <c r="W139" s="2"/>
      <c r="X139" s="2"/>
    </row>
    <row r="140" ht="15.75" customHeight="1">
      <c r="A140" s="1" t="s">
        <v>890</v>
      </c>
      <c r="B140" s="38" t="s">
        <v>891</v>
      </c>
      <c r="C140" s="7" t="str">
        <f>HYPERLINK("https://exmed.io/","https://exmed.io/")</f>
        <v>https://exmed.io/</v>
      </c>
      <c r="D140" s="1" t="s">
        <v>187</v>
      </c>
      <c r="E140" s="39" t="s">
        <v>892</v>
      </c>
      <c r="F140" s="4" t="s">
        <v>166</v>
      </c>
      <c r="G140" s="4">
        <v>2014.0</v>
      </c>
      <c r="H140" s="1" t="s">
        <v>893</v>
      </c>
      <c r="I140" s="2"/>
      <c r="J140" s="5" t="s">
        <v>894</v>
      </c>
      <c r="K140" s="9" t="s">
        <v>895</v>
      </c>
      <c r="L140" s="2" t="s">
        <v>24</v>
      </c>
      <c r="M140" s="1" t="s">
        <v>896</v>
      </c>
      <c r="N140" s="1"/>
      <c r="O140" s="7" t="s">
        <v>897</v>
      </c>
      <c r="P140" s="2"/>
      <c r="Q140" s="2"/>
      <c r="R140" s="2"/>
      <c r="S140" s="2"/>
      <c r="T140" s="2"/>
      <c r="U140" s="2"/>
      <c r="V140" s="2"/>
      <c r="W140" s="2"/>
      <c r="X140" s="2"/>
    </row>
    <row r="141" ht="15.75" customHeight="1">
      <c r="A141" s="1" t="s">
        <v>898</v>
      </c>
      <c r="B141" s="40" t="s">
        <v>899</v>
      </c>
      <c r="C141" s="7" t="s">
        <v>900</v>
      </c>
      <c r="D141" s="1" t="s">
        <v>266</v>
      </c>
      <c r="E141" s="2" t="s">
        <v>901</v>
      </c>
      <c r="F141" s="4" t="s">
        <v>19</v>
      </c>
      <c r="G141" s="4">
        <v>2014.0</v>
      </c>
      <c r="H141" s="1" t="s">
        <v>902</v>
      </c>
      <c r="I141" s="2"/>
      <c r="J141" s="5" t="s">
        <v>903</v>
      </c>
      <c r="K141" s="9" t="s">
        <v>903</v>
      </c>
      <c r="L141" s="2" t="s">
        <v>24</v>
      </c>
      <c r="M141" s="1"/>
      <c r="N141" s="1"/>
      <c r="O141" s="7" t="s">
        <v>904</v>
      </c>
      <c r="P141" s="2"/>
      <c r="Q141" s="2"/>
      <c r="R141" s="2"/>
      <c r="S141" s="2"/>
      <c r="T141" s="2"/>
      <c r="U141" s="2"/>
      <c r="V141" s="2"/>
      <c r="W141" s="2"/>
      <c r="X141" s="2"/>
    </row>
    <row r="142" ht="15.75" customHeight="1">
      <c r="A142" s="1" t="s">
        <v>905</v>
      </c>
      <c r="B142" s="38" t="s">
        <v>906</v>
      </c>
      <c r="C142" s="7" t="str">
        <f>HYPERLINK("http://medicalnote.co.jp/","http://medicalnote.co.jp/")</f>
        <v>http://medicalnote.co.jp/</v>
      </c>
      <c r="D142" s="1" t="s">
        <v>17</v>
      </c>
      <c r="E142" s="2" t="s">
        <v>907</v>
      </c>
      <c r="F142" s="4" t="s">
        <v>19</v>
      </c>
      <c r="G142" s="4">
        <v>2014.0</v>
      </c>
      <c r="H142" s="1" t="s">
        <v>908</v>
      </c>
      <c r="I142" s="2" t="s">
        <v>21</v>
      </c>
      <c r="J142" s="5" t="s">
        <v>909</v>
      </c>
      <c r="K142" s="41" t="s">
        <v>910</v>
      </c>
      <c r="L142" s="2" t="s">
        <v>24</v>
      </c>
      <c r="M142" s="1"/>
      <c r="N142" s="1"/>
      <c r="O142" s="7" t="s">
        <v>911</v>
      </c>
      <c r="P142" s="2"/>
      <c r="Q142" s="2"/>
      <c r="R142" s="2"/>
      <c r="S142" s="2"/>
      <c r="T142" s="2"/>
      <c r="U142" s="2"/>
      <c r="V142" s="2"/>
      <c r="W142" s="2"/>
      <c r="X142" s="2"/>
    </row>
    <row r="143" ht="15.75" customHeight="1">
      <c r="A143" s="1" t="s">
        <v>912</v>
      </c>
      <c r="B143" s="38" t="s">
        <v>913</v>
      </c>
      <c r="C143" s="7" t="str">
        <f>HYPERLINK("https://cykinso.co.jp/","https://cykinso.co.jp/")</f>
        <v>https://cykinso.co.jp/</v>
      </c>
      <c r="D143" s="1" t="s">
        <v>567</v>
      </c>
      <c r="E143" s="2" t="s">
        <v>914</v>
      </c>
      <c r="F143" s="4" t="s">
        <v>19</v>
      </c>
      <c r="G143" s="4">
        <v>2014.0</v>
      </c>
      <c r="H143" s="1" t="s">
        <v>915</v>
      </c>
      <c r="I143" s="2"/>
      <c r="J143" s="5" t="s">
        <v>916</v>
      </c>
      <c r="K143" s="41" t="s">
        <v>916</v>
      </c>
      <c r="L143" s="2" t="s">
        <v>24</v>
      </c>
      <c r="M143" s="1"/>
      <c r="N143" s="1"/>
      <c r="O143" s="7" t="s">
        <v>917</v>
      </c>
      <c r="P143" s="2"/>
      <c r="Q143" s="2"/>
      <c r="R143" s="2"/>
      <c r="S143" s="2"/>
      <c r="T143" s="2"/>
      <c r="U143" s="2"/>
      <c r="V143" s="2"/>
      <c r="W143" s="2"/>
      <c r="X143" s="2"/>
    </row>
    <row r="144" ht="15.75" customHeight="1">
      <c r="A144" s="1" t="s">
        <v>918</v>
      </c>
      <c r="B144" s="42" t="s">
        <v>919</v>
      </c>
      <c r="C144" s="12" t="s">
        <v>920</v>
      </c>
      <c r="D144" s="1" t="s">
        <v>239</v>
      </c>
      <c r="E144" s="2" t="s">
        <v>921</v>
      </c>
      <c r="F144" s="4" t="s">
        <v>355</v>
      </c>
      <c r="G144" s="4">
        <v>2014.0</v>
      </c>
      <c r="H144" s="1" t="s">
        <v>922</v>
      </c>
      <c r="I144" s="2" t="s">
        <v>21</v>
      </c>
      <c r="J144" s="43" t="s">
        <v>923</v>
      </c>
      <c r="K144" s="14" t="s">
        <v>923</v>
      </c>
      <c r="L144" s="2" t="s">
        <v>24</v>
      </c>
      <c r="M144" s="1"/>
      <c r="N144" s="1"/>
      <c r="O144" s="7" t="s">
        <v>924</v>
      </c>
      <c r="P144" s="2"/>
      <c r="Q144" s="2"/>
      <c r="R144" s="2"/>
      <c r="S144" s="2"/>
      <c r="T144" s="2"/>
      <c r="U144" s="2"/>
      <c r="V144" s="2"/>
      <c r="W144" s="2"/>
      <c r="X144" s="2"/>
    </row>
    <row r="145" ht="15.75" customHeight="1">
      <c r="A145" s="1" t="s">
        <v>925</v>
      </c>
      <c r="B145" s="42" t="s">
        <v>926</v>
      </c>
      <c r="C145" s="12" t="s">
        <v>927</v>
      </c>
      <c r="D145" s="1" t="s">
        <v>56</v>
      </c>
      <c r="E145" s="2" t="s">
        <v>928</v>
      </c>
      <c r="F145" s="4" t="s">
        <v>19</v>
      </c>
      <c r="G145" s="4">
        <v>2014.0</v>
      </c>
      <c r="H145" s="1" t="s">
        <v>929</v>
      </c>
      <c r="I145" s="2"/>
      <c r="J145" s="5" t="s">
        <v>664</v>
      </c>
      <c r="K145" s="9" t="s">
        <v>930</v>
      </c>
      <c r="L145" s="2" t="s">
        <v>24</v>
      </c>
      <c r="M145" s="1" t="s">
        <v>931</v>
      </c>
      <c r="N145" s="1"/>
      <c r="O145" s="7" t="s">
        <v>932</v>
      </c>
      <c r="P145" s="2"/>
      <c r="Q145" s="2"/>
      <c r="R145" s="2"/>
      <c r="S145" s="2"/>
      <c r="T145" s="2"/>
      <c r="U145" s="2"/>
      <c r="V145" s="2"/>
      <c r="W145" s="2"/>
      <c r="X145" s="2"/>
    </row>
    <row r="146" ht="15.75" customHeight="1">
      <c r="A146" s="1" t="s">
        <v>933</v>
      </c>
      <c r="B146" s="38" t="s">
        <v>934</v>
      </c>
      <c r="C146" s="7" t="s">
        <v>935</v>
      </c>
      <c r="D146" s="1" t="s">
        <v>56</v>
      </c>
      <c r="E146" s="2" t="s">
        <v>936</v>
      </c>
      <c r="F146" s="4" t="s">
        <v>19</v>
      </c>
      <c r="G146" s="4">
        <v>2014.0</v>
      </c>
      <c r="H146" s="1" t="s">
        <v>937</v>
      </c>
      <c r="I146" s="2"/>
      <c r="J146" s="5" t="s">
        <v>938</v>
      </c>
      <c r="K146" s="9" t="s">
        <v>938</v>
      </c>
      <c r="L146" s="2" t="s">
        <v>24</v>
      </c>
      <c r="M146" s="1"/>
      <c r="N146" s="1"/>
      <c r="O146" s="7" t="s">
        <v>939</v>
      </c>
      <c r="P146" s="2"/>
      <c r="Q146" s="2"/>
      <c r="R146" s="2"/>
      <c r="S146" s="2"/>
      <c r="T146" s="2"/>
      <c r="U146" s="2"/>
      <c r="V146" s="2"/>
      <c r="W146" s="2"/>
      <c r="X146" s="2"/>
    </row>
    <row r="147" ht="15.75" customHeight="1">
      <c r="A147" s="1" t="s">
        <v>940</v>
      </c>
      <c r="B147" s="38" t="s">
        <v>941</v>
      </c>
      <c r="C147" s="7" t="str">
        <f>HYPERLINK("https://www.riverfieldinc.com/","https://www.riverfieldinc.com/")</f>
        <v>https://www.riverfieldinc.com/</v>
      </c>
      <c r="D147" s="1" t="s">
        <v>39</v>
      </c>
      <c r="E147" s="2" t="s">
        <v>942</v>
      </c>
      <c r="F147" s="4" t="s">
        <v>19</v>
      </c>
      <c r="G147" s="4">
        <v>2014.0</v>
      </c>
      <c r="H147" s="1" t="s">
        <v>943</v>
      </c>
      <c r="I147" s="2" t="s">
        <v>147</v>
      </c>
      <c r="J147" s="5" t="s">
        <v>944</v>
      </c>
      <c r="K147" s="9" t="s">
        <v>945</v>
      </c>
      <c r="L147" s="2" t="s">
        <v>24</v>
      </c>
      <c r="M147" s="1"/>
      <c r="N147" s="1"/>
      <c r="O147" s="7" t="s">
        <v>946</v>
      </c>
      <c r="P147" s="2"/>
      <c r="Q147" s="2"/>
      <c r="R147" s="2"/>
      <c r="S147" s="2"/>
      <c r="T147" s="2"/>
      <c r="U147" s="2"/>
      <c r="V147" s="2"/>
      <c r="W147" s="2"/>
      <c r="X147" s="2"/>
    </row>
    <row r="148" ht="15.75" customHeight="1">
      <c r="A148" s="1" t="s">
        <v>947</v>
      </c>
      <c r="B148" s="38" t="s">
        <v>948</v>
      </c>
      <c r="C148" s="7" t="str">
        <f>HYPERLINK("https://lpixel.net/","https://lpixel.net/")</f>
        <v>https://lpixel.net/</v>
      </c>
      <c r="D148" s="1" t="s">
        <v>247</v>
      </c>
      <c r="E148" s="2" t="s">
        <v>949</v>
      </c>
      <c r="F148" s="4" t="s">
        <v>19</v>
      </c>
      <c r="G148" s="4">
        <v>2014.0</v>
      </c>
      <c r="H148" s="1" t="s">
        <v>950</v>
      </c>
      <c r="I148" s="2" t="s">
        <v>70</v>
      </c>
      <c r="J148" s="5" t="s">
        <v>951</v>
      </c>
      <c r="K148" s="14" t="s">
        <v>952</v>
      </c>
      <c r="L148" s="2" t="s">
        <v>24</v>
      </c>
      <c r="M148" s="1"/>
      <c r="N148" s="1"/>
      <c r="O148" s="7" t="s">
        <v>953</v>
      </c>
      <c r="P148" s="2"/>
      <c r="Q148" s="2"/>
      <c r="R148" s="2"/>
      <c r="S148" s="2"/>
      <c r="T148" s="2"/>
      <c r="U148" s="2"/>
      <c r="V148" s="2"/>
      <c r="W148" s="2"/>
      <c r="X148" s="2"/>
    </row>
    <row r="149" ht="15.75" customHeight="1">
      <c r="A149" s="13" t="s">
        <v>954</v>
      </c>
      <c r="B149" s="38" t="s">
        <v>955</v>
      </c>
      <c r="C149" s="44" t="s">
        <v>956</v>
      </c>
      <c r="D149" s="1" t="s">
        <v>172</v>
      </c>
      <c r="E149" s="39" t="s">
        <v>957</v>
      </c>
      <c r="F149" s="4" t="s">
        <v>19</v>
      </c>
      <c r="G149" s="4">
        <v>2014.0</v>
      </c>
      <c r="H149" s="1" t="s">
        <v>958</v>
      </c>
      <c r="I149" s="2"/>
      <c r="J149" s="5" t="s">
        <v>959</v>
      </c>
      <c r="K149" s="9" t="s">
        <v>959</v>
      </c>
      <c r="L149" s="2" t="s">
        <v>24</v>
      </c>
      <c r="M149" s="1"/>
      <c r="N149" s="1" t="s">
        <v>960</v>
      </c>
      <c r="O149" s="7" t="s">
        <v>961</v>
      </c>
      <c r="P149" s="2"/>
      <c r="Q149" s="2"/>
      <c r="R149" s="2"/>
      <c r="S149" s="2"/>
      <c r="T149" s="2"/>
      <c r="U149" s="2"/>
      <c r="V149" s="2"/>
      <c r="W149" s="2"/>
      <c r="X149" s="2"/>
    </row>
    <row r="150" ht="15.75" customHeight="1">
      <c r="A150" s="13" t="s">
        <v>735</v>
      </c>
      <c r="B150" s="42" t="s">
        <v>962</v>
      </c>
      <c r="C150" s="12" t="s">
        <v>963</v>
      </c>
      <c r="D150" s="1" t="s">
        <v>549</v>
      </c>
      <c r="E150" s="2" t="s">
        <v>964</v>
      </c>
      <c r="F150" s="4" t="s">
        <v>19</v>
      </c>
      <c r="G150" s="4">
        <v>2014.0</v>
      </c>
      <c r="H150" s="1" t="s">
        <v>965</v>
      </c>
      <c r="I150" s="2" t="s">
        <v>147</v>
      </c>
      <c r="J150" s="5" t="s">
        <v>734</v>
      </c>
      <c r="K150" s="9" t="s">
        <v>734</v>
      </c>
      <c r="L150" s="2" t="s">
        <v>24</v>
      </c>
      <c r="M150" s="1"/>
      <c r="N150" s="1" t="s">
        <v>731</v>
      </c>
      <c r="O150" s="7" t="s">
        <v>966</v>
      </c>
      <c r="P150" s="2"/>
      <c r="Q150" s="2"/>
      <c r="R150" s="2"/>
      <c r="S150" s="2"/>
      <c r="T150" s="2"/>
      <c r="U150" s="2"/>
      <c r="V150" s="2"/>
      <c r="W150" s="2"/>
      <c r="X150" s="2"/>
    </row>
    <row r="151" ht="15.75" customHeight="1">
      <c r="A151" s="1" t="s">
        <v>967</v>
      </c>
      <c r="B151" s="38" t="s">
        <v>968</v>
      </c>
      <c r="C151" s="7" t="str">
        <f>HYPERLINK("https://cureapp.co.jp/","https://cureapp.co.jp/")</f>
        <v>https://cureapp.co.jp/</v>
      </c>
      <c r="D151" s="13" t="s">
        <v>48</v>
      </c>
      <c r="E151" s="2" t="s">
        <v>969</v>
      </c>
      <c r="F151" s="4" t="s">
        <v>19</v>
      </c>
      <c r="G151" s="4">
        <v>2014.0</v>
      </c>
      <c r="H151" s="1" t="s">
        <v>970</v>
      </c>
      <c r="I151" s="2" t="s">
        <v>21</v>
      </c>
      <c r="J151" s="5" t="s">
        <v>971</v>
      </c>
      <c r="K151" s="9" t="s">
        <v>972</v>
      </c>
      <c r="L151" s="2" t="s">
        <v>24</v>
      </c>
      <c r="M151" s="1"/>
      <c r="N151" s="1" t="s">
        <v>973</v>
      </c>
      <c r="O151" s="7" t="s">
        <v>974</v>
      </c>
      <c r="P151" s="2"/>
      <c r="Q151" s="2"/>
      <c r="R151" s="2"/>
      <c r="S151" s="2"/>
      <c r="T151" s="2"/>
      <c r="U151" s="2"/>
      <c r="V151" s="2"/>
      <c r="W151" s="2"/>
      <c r="X151" s="2"/>
    </row>
    <row r="152" ht="15.75" customHeight="1">
      <c r="A152" s="1" t="s">
        <v>975</v>
      </c>
      <c r="B152" s="38" t="s">
        <v>976</v>
      </c>
      <c r="C152" s="7" t="str">
        <f>HYPERLINK("http://susmed.co.jp/","http://susmed.co.jp/")</f>
        <v>http://susmed.co.jp/</v>
      </c>
      <c r="D152" s="13" t="s">
        <v>48</v>
      </c>
      <c r="E152" s="2" t="s">
        <v>977</v>
      </c>
      <c r="F152" s="4" t="s">
        <v>19</v>
      </c>
      <c r="G152" s="4">
        <v>2014.0</v>
      </c>
      <c r="H152" s="1" t="s">
        <v>978</v>
      </c>
      <c r="I152" s="2" t="s">
        <v>21</v>
      </c>
      <c r="J152" s="5" t="s">
        <v>979</v>
      </c>
      <c r="K152" s="9" t="s">
        <v>979</v>
      </c>
      <c r="L152" s="2" t="s">
        <v>24</v>
      </c>
      <c r="M152" s="1"/>
      <c r="N152" s="1"/>
      <c r="O152" s="7" t="s">
        <v>980</v>
      </c>
      <c r="P152" s="2"/>
      <c r="Q152" s="2"/>
      <c r="R152" s="2"/>
      <c r="S152" s="2"/>
      <c r="T152" s="2"/>
      <c r="U152" s="2"/>
      <c r="V152" s="2"/>
      <c r="W152" s="2"/>
      <c r="X152" s="2"/>
    </row>
    <row r="153" ht="15.75" customHeight="1">
      <c r="A153" s="1" t="s">
        <v>981</v>
      </c>
      <c r="B153" s="38" t="s">
        <v>982</v>
      </c>
      <c r="C153" s="7" t="str">
        <f>HYPERLINK("https://lifemeal.jp/","https://lifemeal.jp/")</f>
        <v>https://lifemeal.jp/</v>
      </c>
      <c r="D153" s="1" t="s">
        <v>17</v>
      </c>
      <c r="E153" s="2" t="s">
        <v>983</v>
      </c>
      <c r="F153" s="4" t="s">
        <v>19</v>
      </c>
      <c r="G153" s="4">
        <v>2014.0</v>
      </c>
      <c r="H153" s="1" t="s">
        <v>984</v>
      </c>
      <c r="I153" s="2"/>
      <c r="J153" s="5" t="s">
        <v>985</v>
      </c>
      <c r="K153" s="9" t="s">
        <v>985</v>
      </c>
      <c r="L153" s="2" t="s">
        <v>24</v>
      </c>
      <c r="M153" s="1"/>
      <c r="N153" s="1"/>
      <c r="O153" s="7" t="s">
        <v>986</v>
      </c>
      <c r="P153" s="2"/>
      <c r="Q153" s="2"/>
      <c r="R153" s="2"/>
      <c r="S153" s="2"/>
      <c r="T153" s="2"/>
      <c r="U153" s="2"/>
      <c r="V153" s="2"/>
      <c r="W153" s="2"/>
      <c r="X153" s="2"/>
    </row>
    <row r="154" ht="15.75" customHeight="1">
      <c r="A154" s="1" t="s">
        <v>987</v>
      </c>
      <c r="B154" s="38" t="s">
        <v>988</v>
      </c>
      <c r="C154" s="7" t="str">
        <f>HYPERLINK("https://www.preferred-networks.jp/ja/","https://www.preferred-networks.jp/ja/")</f>
        <v>https://www.preferred-networks.jp/ja/</v>
      </c>
      <c r="D154" s="1" t="s">
        <v>247</v>
      </c>
      <c r="E154" s="2" t="s">
        <v>989</v>
      </c>
      <c r="F154" s="4" t="s">
        <v>19</v>
      </c>
      <c r="G154" s="4">
        <v>2014.0</v>
      </c>
      <c r="H154" s="1" t="s">
        <v>990</v>
      </c>
      <c r="I154" s="2"/>
      <c r="J154" s="5" t="s">
        <v>991</v>
      </c>
      <c r="K154" s="9" t="s">
        <v>991</v>
      </c>
      <c r="L154" s="2" t="s">
        <v>24</v>
      </c>
      <c r="M154" s="1"/>
      <c r="N154" s="1" t="s">
        <v>992</v>
      </c>
      <c r="O154" s="7" t="s">
        <v>993</v>
      </c>
      <c r="P154" s="2"/>
      <c r="Q154" s="2"/>
      <c r="R154" s="2"/>
      <c r="S154" s="2"/>
      <c r="T154" s="2"/>
      <c r="U154" s="2"/>
      <c r="V154" s="2"/>
      <c r="W154" s="2"/>
      <c r="X154" s="2"/>
    </row>
    <row r="155" ht="15.75" customHeight="1">
      <c r="A155" s="1" t="s">
        <v>994</v>
      </c>
      <c r="B155" s="42" t="s">
        <v>995</v>
      </c>
      <c r="C155" s="12" t="s">
        <v>996</v>
      </c>
      <c r="D155" s="1" t="s">
        <v>247</v>
      </c>
      <c r="E155" s="20" t="s">
        <v>997</v>
      </c>
      <c r="F155" s="4" t="s">
        <v>19</v>
      </c>
      <c r="G155" s="4">
        <v>2014.0</v>
      </c>
      <c r="H155" s="1" t="s">
        <v>998</v>
      </c>
      <c r="I155" s="2"/>
      <c r="J155" s="5" t="s">
        <v>999</v>
      </c>
      <c r="K155" s="9" t="s">
        <v>1000</v>
      </c>
      <c r="L155" s="2" t="s">
        <v>24</v>
      </c>
      <c r="M155" s="1" t="s">
        <v>1001</v>
      </c>
      <c r="N155" s="1"/>
      <c r="O155" s="7" t="s">
        <v>1002</v>
      </c>
      <c r="P155" s="2"/>
      <c r="Q155" s="2"/>
      <c r="R155" s="2"/>
      <c r="S155" s="2"/>
      <c r="T155" s="2"/>
      <c r="U155" s="2"/>
      <c r="V155" s="2"/>
      <c r="W155" s="2"/>
      <c r="X155" s="2"/>
    </row>
    <row r="156" ht="15.75" customHeight="1">
      <c r="A156" s="1" t="s">
        <v>1003</v>
      </c>
      <c r="B156" s="38" t="s">
        <v>1004</v>
      </c>
      <c r="C156" s="7" t="s">
        <v>1005</v>
      </c>
      <c r="D156" s="1" t="s">
        <v>136</v>
      </c>
      <c r="E156" s="2" t="s">
        <v>1006</v>
      </c>
      <c r="F156" s="4" t="s">
        <v>19</v>
      </c>
      <c r="G156" s="4">
        <v>2014.0</v>
      </c>
      <c r="H156" s="1" t="s">
        <v>1007</v>
      </c>
      <c r="I156" s="2"/>
      <c r="J156" s="5" t="s">
        <v>1008</v>
      </c>
      <c r="K156" s="9" t="s">
        <v>1008</v>
      </c>
      <c r="L156" s="2" t="s">
        <v>24</v>
      </c>
      <c r="M156" s="1"/>
      <c r="N156" s="1"/>
      <c r="O156" s="7" t="s">
        <v>1009</v>
      </c>
      <c r="P156" s="2"/>
      <c r="Q156" s="2"/>
      <c r="R156" s="2"/>
      <c r="S156" s="2"/>
      <c r="T156" s="2"/>
      <c r="U156" s="2"/>
      <c r="V156" s="2"/>
      <c r="W156" s="2"/>
      <c r="X156" s="2"/>
    </row>
    <row r="157" ht="15.75" customHeight="1">
      <c r="A157" s="1" t="s">
        <v>1010</v>
      </c>
      <c r="B157" s="38" t="s">
        <v>1011</v>
      </c>
      <c r="C157" s="7" t="str">
        <f>HYPERLINK("https://www.metcela.com/","https://www.metcela.com/")</f>
        <v>https://www.metcela.com/</v>
      </c>
      <c r="D157" s="1" t="s">
        <v>39</v>
      </c>
      <c r="E157" s="2" t="s">
        <v>1012</v>
      </c>
      <c r="F157" s="4" t="s">
        <v>1013</v>
      </c>
      <c r="G157" s="4">
        <v>2014.0</v>
      </c>
      <c r="H157" s="1" t="s">
        <v>1014</v>
      </c>
      <c r="I157" s="2"/>
      <c r="J157" s="5" t="s">
        <v>1015</v>
      </c>
      <c r="K157" s="9" t="s">
        <v>1015</v>
      </c>
      <c r="L157" s="2" t="s">
        <v>24</v>
      </c>
      <c r="M157" s="1"/>
      <c r="N157" s="1"/>
      <c r="O157" s="7" t="s">
        <v>1016</v>
      </c>
      <c r="P157" s="2"/>
      <c r="Q157" s="2"/>
      <c r="R157" s="2"/>
      <c r="S157" s="2"/>
      <c r="T157" s="2"/>
      <c r="U157" s="2"/>
      <c r="V157" s="2"/>
      <c r="W157" s="2"/>
      <c r="X157" s="2"/>
    </row>
    <row r="158" ht="15.75" customHeight="1">
      <c r="A158" s="1" t="s">
        <v>1017</v>
      </c>
      <c r="B158" s="38" t="s">
        <v>1018</v>
      </c>
      <c r="C158" s="7" t="str">
        <f>HYPERLINK("https://hacarus.com/","https://hacarus.com/")</f>
        <v>https://hacarus.com/</v>
      </c>
      <c r="D158" s="1" t="s">
        <v>39</v>
      </c>
      <c r="E158" s="2" t="s">
        <v>1019</v>
      </c>
      <c r="F158" s="4" t="s">
        <v>499</v>
      </c>
      <c r="G158" s="4">
        <v>2014.0</v>
      </c>
      <c r="H158" s="1" t="s">
        <v>1020</v>
      </c>
      <c r="I158" s="2"/>
      <c r="J158" s="5" t="s">
        <v>1021</v>
      </c>
      <c r="K158" s="9" t="s">
        <v>1021</v>
      </c>
      <c r="L158" s="2" t="s">
        <v>24</v>
      </c>
      <c r="M158" s="1"/>
      <c r="N158" s="1" t="s">
        <v>1022</v>
      </c>
      <c r="O158" s="7" t="s">
        <v>1023</v>
      </c>
      <c r="P158" s="2"/>
      <c r="Q158" s="2"/>
      <c r="R158" s="2"/>
      <c r="S158" s="2"/>
      <c r="T158" s="2"/>
      <c r="U158" s="2"/>
      <c r="V158" s="2"/>
      <c r="W158" s="2"/>
      <c r="X158" s="2"/>
    </row>
    <row r="159" ht="15.75" customHeight="1">
      <c r="A159" s="1" t="s">
        <v>1024</v>
      </c>
      <c r="B159" s="38" t="s">
        <v>1025</v>
      </c>
      <c r="C159" s="7" t="str">
        <f>HYPERLINK("http://ys-j.co.jp/","http://ys-j.co.jp/")</f>
        <v>http://ys-j.co.jp/</v>
      </c>
      <c r="D159" s="1" t="s">
        <v>239</v>
      </c>
      <c r="E159" s="2" t="s">
        <v>1026</v>
      </c>
      <c r="F159" s="4" t="s">
        <v>19</v>
      </c>
      <c r="G159" s="4">
        <v>2014.0</v>
      </c>
      <c r="H159" s="1" t="s">
        <v>1027</v>
      </c>
      <c r="I159" s="2"/>
      <c r="J159" s="5" t="s">
        <v>1028</v>
      </c>
      <c r="K159" s="9" t="s">
        <v>1029</v>
      </c>
      <c r="L159" s="2" t="s">
        <v>52</v>
      </c>
      <c r="M159" s="13" t="s">
        <v>192</v>
      </c>
      <c r="N159" s="1"/>
      <c r="O159" s="7" t="s">
        <v>1030</v>
      </c>
      <c r="P159" s="2"/>
      <c r="Q159" s="2"/>
      <c r="R159" s="2"/>
      <c r="S159" s="2"/>
      <c r="T159" s="2"/>
      <c r="U159" s="2"/>
      <c r="V159" s="2"/>
      <c r="W159" s="2"/>
      <c r="X159" s="2"/>
    </row>
    <row r="160" ht="15.75" customHeight="1">
      <c r="A160" s="1" t="s">
        <v>1031</v>
      </c>
      <c r="B160" s="38" t="s">
        <v>1032</v>
      </c>
      <c r="C160" s="7" t="str">
        <f>HYPERLINK("http://symax.jp/ja.html","http://symax.jp/ja.html")</f>
        <v>http://symax.jp/ja.html</v>
      </c>
      <c r="D160" s="1" t="s">
        <v>567</v>
      </c>
      <c r="E160" s="2" t="s">
        <v>1033</v>
      </c>
      <c r="F160" s="4" t="s">
        <v>19</v>
      </c>
      <c r="G160" s="4">
        <v>2014.0</v>
      </c>
      <c r="H160" s="1" t="s">
        <v>1034</v>
      </c>
      <c r="I160" s="2" t="s">
        <v>147</v>
      </c>
      <c r="J160" s="5" t="s">
        <v>1035</v>
      </c>
      <c r="K160" s="9" t="s">
        <v>1036</v>
      </c>
      <c r="L160" s="2" t="s">
        <v>24</v>
      </c>
      <c r="M160" s="1"/>
      <c r="N160" s="1"/>
      <c r="O160" s="7" t="s">
        <v>1037</v>
      </c>
      <c r="P160" s="2"/>
      <c r="Q160" s="2"/>
      <c r="R160" s="2"/>
      <c r="S160" s="2"/>
      <c r="T160" s="2"/>
      <c r="U160" s="2"/>
      <c r="V160" s="2"/>
      <c r="W160" s="2"/>
      <c r="X160" s="2"/>
    </row>
    <row r="161" ht="15.75" customHeight="1">
      <c r="A161" s="1" t="s">
        <v>1038</v>
      </c>
      <c r="B161" s="38" t="s">
        <v>1039</v>
      </c>
      <c r="C161" s="7" t="str">
        <f>HYPERLINK("https://www.m3dc.co.jp/","https://www.m3dc.co.jp/")</f>
        <v>https://www.m3dc.co.jp/</v>
      </c>
      <c r="D161" s="1" t="s">
        <v>56</v>
      </c>
      <c r="E161" s="45" t="s">
        <v>1040</v>
      </c>
      <c r="F161" s="4" t="s">
        <v>19</v>
      </c>
      <c r="G161" s="4">
        <v>2014.0</v>
      </c>
      <c r="H161" s="1" t="s">
        <v>879</v>
      </c>
      <c r="I161" s="2"/>
      <c r="J161" s="5" t="s">
        <v>1041</v>
      </c>
      <c r="K161" s="9" t="s">
        <v>1042</v>
      </c>
      <c r="L161" s="2" t="s">
        <v>24</v>
      </c>
      <c r="M161" s="13" t="s">
        <v>1043</v>
      </c>
      <c r="N161" s="13" t="s">
        <v>1044</v>
      </c>
      <c r="O161" s="7" t="s">
        <v>1045</v>
      </c>
      <c r="P161" s="2"/>
      <c r="Q161" s="2"/>
      <c r="R161" s="2"/>
      <c r="S161" s="2"/>
      <c r="T161" s="2"/>
      <c r="U161" s="2"/>
      <c r="V161" s="2"/>
      <c r="W161" s="2"/>
      <c r="X161" s="2"/>
    </row>
    <row r="162" ht="15.75" customHeight="1">
      <c r="A162" s="1" t="s">
        <v>1046</v>
      </c>
      <c r="B162" s="34" t="s">
        <v>1047</v>
      </c>
      <c r="C162" s="7" t="s">
        <v>1048</v>
      </c>
      <c r="D162" s="1" t="s">
        <v>187</v>
      </c>
      <c r="E162" s="2" t="s">
        <v>1049</v>
      </c>
      <c r="F162" s="4" t="s">
        <v>19</v>
      </c>
      <c r="G162" s="4">
        <v>2014.0</v>
      </c>
      <c r="H162" s="1" t="s">
        <v>1050</v>
      </c>
      <c r="I162" s="2" t="s">
        <v>43</v>
      </c>
      <c r="J162" s="5" t="s">
        <v>1051</v>
      </c>
      <c r="K162" s="46" t="s">
        <v>1052</v>
      </c>
      <c r="L162" s="2" t="s">
        <v>24</v>
      </c>
      <c r="M162" s="1" t="s">
        <v>1053</v>
      </c>
      <c r="N162" s="1"/>
      <c r="O162" s="7" t="s">
        <v>1054</v>
      </c>
      <c r="P162" s="2"/>
      <c r="Q162" s="2"/>
      <c r="R162" s="2"/>
      <c r="S162" s="2"/>
      <c r="T162" s="2"/>
      <c r="U162" s="2"/>
      <c r="V162" s="2"/>
      <c r="W162" s="2"/>
      <c r="X162" s="2"/>
    </row>
    <row r="163" ht="15.75" customHeight="1">
      <c r="A163" s="1" t="s">
        <v>1055</v>
      </c>
      <c r="B163" s="34" t="s">
        <v>1056</v>
      </c>
      <c r="C163" s="7" t="str">
        <f>HYPERLINK("http://two2.jp/","http://two2.jp/")</f>
        <v>http://two2.jp/</v>
      </c>
      <c r="D163" s="21" t="s">
        <v>116</v>
      </c>
      <c r="E163" s="2" t="s">
        <v>1057</v>
      </c>
      <c r="F163" s="4" t="s">
        <v>19</v>
      </c>
      <c r="G163" s="4">
        <v>2014.0</v>
      </c>
      <c r="H163" s="1" t="s">
        <v>1058</v>
      </c>
      <c r="I163" s="2" t="s">
        <v>70</v>
      </c>
      <c r="J163" s="5" t="s">
        <v>1059</v>
      </c>
      <c r="K163" s="5" t="s">
        <v>1059</v>
      </c>
      <c r="L163" s="2" t="s">
        <v>24</v>
      </c>
      <c r="M163" s="1"/>
      <c r="N163" s="1"/>
      <c r="O163" s="7" t="s">
        <v>1060</v>
      </c>
      <c r="P163" s="2"/>
      <c r="Q163" s="2"/>
      <c r="R163" s="2"/>
      <c r="S163" s="2"/>
      <c r="T163" s="2"/>
      <c r="U163" s="2"/>
      <c r="V163" s="2"/>
      <c r="W163" s="2"/>
      <c r="X163" s="2"/>
    </row>
    <row r="164" ht="15.75" customHeight="1">
      <c r="A164" s="1" t="s">
        <v>1061</v>
      </c>
      <c r="B164" s="34" t="s">
        <v>1062</v>
      </c>
      <c r="C164" s="7" t="str">
        <f>HYPERLINK("https://mealthy.me/","https://mealthy.me/")</f>
        <v>https://mealthy.me/</v>
      </c>
      <c r="D164" s="1" t="s">
        <v>152</v>
      </c>
      <c r="E164" s="2" t="s">
        <v>1063</v>
      </c>
      <c r="F164" s="4" t="s">
        <v>19</v>
      </c>
      <c r="G164" s="4">
        <v>2014.0</v>
      </c>
      <c r="H164" s="20" t="s">
        <v>1064</v>
      </c>
      <c r="I164" s="2" t="s">
        <v>70</v>
      </c>
      <c r="J164" s="5" t="s">
        <v>1065</v>
      </c>
      <c r="K164" s="5" t="s">
        <v>1065</v>
      </c>
      <c r="L164" s="2" t="s">
        <v>24</v>
      </c>
      <c r="M164" s="1"/>
      <c r="N164" s="1"/>
      <c r="O164" s="7" t="s">
        <v>1066</v>
      </c>
      <c r="P164" s="2"/>
      <c r="Q164" s="2"/>
      <c r="R164" s="2"/>
      <c r="S164" s="2"/>
      <c r="T164" s="2"/>
      <c r="U164" s="2"/>
      <c r="V164" s="2"/>
      <c r="W164" s="2"/>
      <c r="X164" s="2"/>
    </row>
    <row r="165" ht="15.75" customHeight="1">
      <c r="A165" s="1" t="s">
        <v>1067</v>
      </c>
      <c r="B165" s="34" t="s">
        <v>1068</v>
      </c>
      <c r="C165" s="7" t="str">
        <f>HYPERLINK("https://www.travoss.com/","https://www.travoss.com/")</f>
        <v>https://www.travoss.com/</v>
      </c>
      <c r="D165" s="1" t="s">
        <v>17</v>
      </c>
      <c r="E165" s="2" t="s">
        <v>1069</v>
      </c>
      <c r="F165" s="4" t="s">
        <v>19</v>
      </c>
      <c r="G165" s="4">
        <v>2014.0</v>
      </c>
      <c r="H165" s="1" t="s">
        <v>1070</v>
      </c>
      <c r="I165" s="2"/>
      <c r="J165" s="5" t="s">
        <v>1071</v>
      </c>
      <c r="K165" s="14" t="s">
        <v>1071</v>
      </c>
      <c r="L165" s="2" t="s">
        <v>24</v>
      </c>
      <c r="M165" s="1"/>
      <c r="N165" s="1"/>
      <c r="O165" s="7" t="s">
        <v>1072</v>
      </c>
      <c r="P165" s="2"/>
      <c r="Q165" s="2"/>
      <c r="R165" s="2"/>
      <c r="S165" s="2"/>
      <c r="T165" s="2"/>
      <c r="U165" s="2"/>
      <c r="V165" s="2"/>
      <c r="W165" s="2"/>
      <c r="X165" s="2"/>
    </row>
    <row r="166" ht="15.75" customHeight="1">
      <c r="A166" s="1" t="s">
        <v>1073</v>
      </c>
      <c r="B166" s="37" t="s">
        <v>1074</v>
      </c>
      <c r="C166" s="12" t="s">
        <v>1075</v>
      </c>
      <c r="D166" s="1" t="s">
        <v>187</v>
      </c>
      <c r="E166" s="2" t="s">
        <v>1076</v>
      </c>
      <c r="F166" s="4" t="s">
        <v>19</v>
      </c>
      <c r="G166" s="4">
        <v>2014.0</v>
      </c>
      <c r="H166" s="1" t="s">
        <v>1077</v>
      </c>
      <c r="I166" s="2"/>
      <c r="J166" s="5" t="s">
        <v>1078</v>
      </c>
      <c r="K166" s="5" t="s">
        <v>1078</v>
      </c>
      <c r="L166" s="2" t="s">
        <v>24</v>
      </c>
      <c r="M166" s="1"/>
      <c r="N166" s="1" t="s">
        <v>1079</v>
      </c>
      <c r="O166" s="7" t="s">
        <v>1080</v>
      </c>
      <c r="P166" s="2"/>
      <c r="Q166" s="2"/>
      <c r="R166" s="2"/>
      <c r="S166" s="2"/>
      <c r="T166" s="2"/>
      <c r="U166" s="2"/>
      <c r="V166" s="2"/>
      <c r="W166" s="2"/>
      <c r="X166" s="2"/>
    </row>
    <row r="167" ht="15.75" customHeight="1">
      <c r="A167" s="1" t="s">
        <v>1081</v>
      </c>
      <c r="B167" s="34" t="s">
        <v>1082</v>
      </c>
      <c r="C167" s="7" t="str">
        <f>HYPERLINK("http://ventures.halmek.co.jp/","http://ventures.halmek.co.jp/")</f>
        <v>http://ventures.halmek.co.jp/</v>
      </c>
      <c r="D167" s="1" t="s">
        <v>567</v>
      </c>
      <c r="E167" s="2" t="s">
        <v>1083</v>
      </c>
      <c r="F167" s="4" t="s">
        <v>19</v>
      </c>
      <c r="G167" s="4">
        <v>2014.0</v>
      </c>
      <c r="H167" s="1" t="s">
        <v>1084</v>
      </c>
      <c r="I167" s="2"/>
      <c r="J167" s="5" t="s">
        <v>1085</v>
      </c>
      <c r="K167" s="14" t="s">
        <v>1086</v>
      </c>
      <c r="L167" s="2" t="s">
        <v>24</v>
      </c>
      <c r="M167" s="1" t="s">
        <v>1087</v>
      </c>
      <c r="N167" s="1"/>
      <c r="O167" s="7" t="s">
        <v>1088</v>
      </c>
      <c r="P167" s="2"/>
      <c r="Q167" s="2"/>
      <c r="R167" s="2"/>
      <c r="S167" s="2"/>
      <c r="T167" s="2"/>
      <c r="U167" s="2"/>
      <c r="V167" s="2"/>
      <c r="W167" s="2"/>
      <c r="X167" s="2"/>
    </row>
    <row r="168" ht="15.75" customHeight="1">
      <c r="A168" s="1" t="s">
        <v>1089</v>
      </c>
      <c r="B168" s="34" t="s">
        <v>1090</v>
      </c>
      <c r="C168" s="7" t="str">
        <f>HYPERLINK("http://trainy.co.jp/","http://trainy.co.jp/")</f>
        <v>http://trainy.co.jp/</v>
      </c>
      <c r="D168" s="13" t="s">
        <v>74</v>
      </c>
      <c r="E168" s="2" t="s">
        <v>1091</v>
      </c>
      <c r="F168" s="4" t="s">
        <v>19</v>
      </c>
      <c r="G168" s="4">
        <v>2014.0</v>
      </c>
      <c r="H168" s="1" t="s">
        <v>1092</v>
      </c>
      <c r="I168" s="2"/>
      <c r="J168" s="5" t="s">
        <v>1093</v>
      </c>
      <c r="K168" s="14" t="s">
        <v>1093</v>
      </c>
      <c r="L168" s="2" t="s">
        <v>24</v>
      </c>
      <c r="M168" s="1"/>
      <c r="N168" s="1"/>
      <c r="O168" s="7" t="s">
        <v>1094</v>
      </c>
      <c r="P168" s="2"/>
      <c r="Q168" s="2"/>
      <c r="R168" s="2"/>
      <c r="S168" s="2"/>
      <c r="T168" s="2"/>
      <c r="U168" s="2"/>
      <c r="V168" s="2"/>
      <c r="W168" s="2"/>
      <c r="X168" s="2"/>
    </row>
    <row r="169" ht="15.75" customHeight="1">
      <c r="A169" s="1" t="s">
        <v>1095</v>
      </c>
      <c r="B169" s="34" t="s">
        <v>1096</v>
      </c>
      <c r="C169" s="7" t="s">
        <v>1097</v>
      </c>
      <c r="D169" s="1" t="s">
        <v>239</v>
      </c>
      <c r="E169" s="2" t="s">
        <v>1098</v>
      </c>
      <c r="F169" s="4" t="s">
        <v>569</v>
      </c>
      <c r="G169" s="4">
        <v>2014.0</v>
      </c>
      <c r="H169" s="1" t="s">
        <v>1099</v>
      </c>
      <c r="I169" s="2"/>
      <c r="J169" s="5" t="s">
        <v>1100</v>
      </c>
      <c r="K169" s="14" t="s">
        <v>1100</v>
      </c>
      <c r="L169" s="2" t="s">
        <v>24</v>
      </c>
      <c r="M169" s="1"/>
      <c r="N169" s="1"/>
      <c r="O169" s="7" t="s">
        <v>1101</v>
      </c>
      <c r="P169" s="2"/>
      <c r="Q169" s="2"/>
      <c r="R169" s="2"/>
      <c r="S169" s="2"/>
      <c r="T169" s="2"/>
      <c r="U169" s="2"/>
      <c r="V169" s="2"/>
      <c r="W169" s="2"/>
      <c r="X169" s="2"/>
    </row>
    <row r="170" ht="15.75" customHeight="1">
      <c r="A170" s="1" t="s">
        <v>1102</v>
      </c>
      <c r="B170" s="34" t="s">
        <v>1103</v>
      </c>
      <c r="C170" s="7" t="s">
        <v>1104</v>
      </c>
      <c r="D170" s="13" t="s">
        <v>74</v>
      </c>
      <c r="E170" s="2" t="s">
        <v>1105</v>
      </c>
      <c r="F170" s="4" t="s">
        <v>19</v>
      </c>
      <c r="G170" s="4">
        <v>2014.0</v>
      </c>
      <c r="H170" s="1" t="s">
        <v>1106</v>
      </c>
      <c r="I170" s="2"/>
      <c r="J170" s="14"/>
      <c r="K170" s="14"/>
      <c r="L170" s="2" t="s">
        <v>24</v>
      </c>
      <c r="M170" s="1" t="s">
        <v>1107</v>
      </c>
      <c r="N170" s="1"/>
      <c r="O170" s="7" t="s">
        <v>1108</v>
      </c>
      <c r="P170" s="2"/>
      <c r="Q170" s="2"/>
      <c r="R170" s="2"/>
      <c r="S170" s="2"/>
      <c r="T170" s="2"/>
      <c r="U170" s="2"/>
      <c r="V170" s="2"/>
      <c r="W170" s="2"/>
      <c r="X170" s="2"/>
    </row>
    <row r="171" ht="15.75" customHeight="1">
      <c r="A171" s="1" t="s">
        <v>1109</v>
      </c>
      <c r="B171" s="34" t="s">
        <v>1110</v>
      </c>
      <c r="C171" s="7" t="s">
        <v>1111</v>
      </c>
      <c r="D171" s="13" t="s">
        <v>74</v>
      </c>
      <c r="E171" s="2" t="s">
        <v>1112</v>
      </c>
      <c r="F171" s="4" t="s">
        <v>19</v>
      </c>
      <c r="G171" s="4">
        <v>2014.0</v>
      </c>
      <c r="H171" s="1" t="s">
        <v>1113</v>
      </c>
      <c r="I171" s="2"/>
      <c r="J171" s="5" t="s">
        <v>1114</v>
      </c>
      <c r="K171" s="14" t="s">
        <v>1114</v>
      </c>
      <c r="L171" s="2" t="s">
        <v>24</v>
      </c>
      <c r="M171" s="1"/>
      <c r="N171" s="1"/>
      <c r="O171" s="7" t="s">
        <v>1115</v>
      </c>
      <c r="P171" s="2"/>
      <c r="Q171" s="2"/>
      <c r="R171" s="2"/>
      <c r="S171" s="2"/>
      <c r="T171" s="2"/>
      <c r="U171" s="2"/>
      <c r="V171" s="2"/>
      <c r="W171" s="2"/>
      <c r="X171" s="2"/>
    </row>
    <row r="172" ht="15.75" customHeight="1">
      <c r="A172" s="1" t="s">
        <v>1116</v>
      </c>
      <c r="B172" s="34" t="s">
        <v>1117</v>
      </c>
      <c r="C172" s="7" t="s">
        <v>1118</v>
      </c>
      <c r="D172" s="1" t="s">
        <v>239</v>
      </c>
      <c r="E172" s="2" t="s">
        <v>1119</v>
      </c>
      <c r="F172" s="4" t="s">
        <v>569</v>
      </c>
      <c r="G172" s="4">
        <v>2014.0</v>
      </c>
      <c r="H172" s="1" t="s">
        <v>1120</v>
      </c>
      <c r="I172" s="2" t="s">
        <v>70</v>
      </c>
      <c r="J172" s="5" t="s">
        <v>1121</v>
      </c>
      <c r="K172" s="5" t="s">
        <v>1121</v>
      </c>
      <c r="L172" s="2" t="s">
        <v>24</v>
      </c>
      <c r="M172" s="1"/>
      <c r="N172" s="1"/>
      <c r="O172" s="7" t="s">
        <v>1122</v>
      </c>
      <c r="P172" s="2"/>
      <c r="Q172" s="2"/>
      <c r="R172" s="2"/>
      <c r="S172" s="2"/>
      <c r="T172" s="2"/>
      <c r="U172" s="2"/>
      <c r="V172" s="2"/>
      <c r="W172" s="2"/>
      <c r="X172" s="2"/>
    </row>
    <row r="173" ht="15.75" customHeight="1">
      <c r="A173" s="1" t="s">
        <v>1123</v>
      </c>
      <c r="B173" s="34" t="s">
        <v>1025</v>
      </c>
      <c r="C173" s="7" t="s">
        <v>1124</v>
      </c>
      <c r="D173" s="1" t="s">
        <v>17</v>
      </c>
      <c r="E173" s="2" t="s">
        <v>1125</v>
      </c>
      <c r="F173" s="4" t="s">
        <v>19</v>
      </c>
      <c r="G173" s="4">
        <v>2014.0</v>
      </c>
      <c r="H173" s="1" t="s">
        <v>1126</v>
      </c>
      <c r="I173" s="2" t="s">
        <v>21</v>
      </c>
      <c r="J173" s="5" t="s">
        <v>1029</v>
      </c>
      <c r="K173" s="14" t="s">
        <v>1029</v>
      </c>
      <c r="L173" s="2" t="s">
        <v>24</v>
      </c>
      <c r="M173" s="1" t="s">
        <v>1043</v>
      </c>
      <c r="N173" s="1"/>
      <c r="O173" s="7" t="s">
        <v>1030</v>
      </c>
      <c r="P173" s="2"/>
      <c r="Q173" s="2"/>
      <c r="R173" s="2"/>
      <c r="S173" s="2"/>
      <c r="T173" s="2"/>
      <c r="U173" s="2"/>
      <c r="V173" s="2"/>
      <c r="W173" s="2"/>
      <c r="X173" s="2"/>
    </row>
    <row r="174" ht="15.75" customHeight="1">
      <c r="A174" s="1" t="s">
        <v>1127</v>
      </c>
      <c r="B174" s="34" t="s">
        <v>1128</v>
      </c>
      <c r="C174" s="7" t="str">
        <f>HYPERLINK("https://syounika.jp/","https://syounika.jp/")</f>
        <v>https://syounika.jp/</v>
      </c>
      <c r="D174" s="1" t="s">
        <v>17</v>
      </c>
      <c r="E174" s="2" t="s">
        <v>1129</v>
      </c>
      <c r="F174" s="4" t="s">
        <v>19</v>
      </c>
      <c r="G174" s="4">
        <v>2015.0</v>
      </c>
      <c r="H174" s="1" t="s">
        <v>1130</v>
      </c>
      <c r="I174" s="2" t="s">
        <v>147</v>
      </c>
      <c r="J174" s="5" t="s">
        <v>1131</v>
      </c>
      <c r="K174" s="5" t="s">
        <v>1131</v>
      </c>
      <c r="L174" s="2" t="s">
        <v>24</v>
      </c>
      <c r="M174" s="1"/>
      <c r="N174" s="1"/>
      <c r="O174" s="7" t="s">
        <v>1132</v>
      </c>
      <c r="P174" s="2"/>
      <c r="Q174" s="2"/>
      <c r="R174" s="2"/>
      <c r="S174" s="2"/>
      <c r="T174" s="2"/>
      <c r="U174" s="2"/>
      <c r="V174" s="2"/>
      <c r="W174" s="2"/>
      <c r="X174" s="2"/>
    </row>
    <row r="175" ht="15.75" customHeight="1">
      <c r="A175" s="1" t="s">
        <v>1133</v>
      </c>
      <c r="B175" s="34" t="s">
        <v>1134</v>
      </c>
      <c r="C175" s="7" t="str">
        <f>HYPERLINK("http://metagen.co.jp/","http://metagen.co.jp/")</f>
        <v>http://metagen.co.jp/</v>
      </c>
      <c r="D175" s="1" t="s">
        <v>567</v>
      </c>
      <c r="E175" s="2" t="s">
        <v>1135</v>
      </c>
      <c r="F175" s="4" t="s">
        <v>1013</v>
      </c>
      <c r="G175" s="4">
        <v>2015.0</v>
      </c>
      <c r="H175" s="1" t="s">
        <v>1136</v>
      </c>
      <c r="I175" s="2" t="s">
        <v>147</v>
      </c>
      <c r="J175" s="5" t="s">
        <v>1137</v>
      </c>
      <c r="K175" s="14" t="s">
        <v>1137</v>
      </c>
      <c r="L175" s="2" t="s">
        <v>24</v>
      </c>
      <c r="M175" s="1"/>
      <c r="N175" s="1" t="s">
        <v>1138</v>
      </c>
      <c r="O175" s="7" t="s">
        <v>1139</v>
      </c>
      <c r="P175" s="2"/>
      <c r="Q175" s="2"/>
      <c r="R175" s="2"/>
      <c r="S175" s="2"/>
      <c r="T175" s="2"/>
      <c r="U175" s="2"/>
      <c r="V175" s="2"/>
      <c r="W175" s="2"/>
      <c r="X175" s="2"/>
    </row>
    <row r="176" ht="15.75" customHeight="1">
      <c r="A176" s="1" t="s">
        <v>1140</v>
      </c>
      <c r="B176" s="34" t="s">
        <v>1141</v>
      </c>
      <c r="C176" s="7" t="str">
        <f>HYPERLINK("https://g-tac.co.jp/","https://g-tac.co.jp/")</f>
        <v>https://g-tac.co.jp/</v>
      </c>
      <c r="D176" s="1" t="s">
        <v>567</v>
      </c>
      <c r="E176" s="2" t="s">
        <v>1142</v>
      </c>
      <c r="F176" s="4" t="s">
        <v>19</v>
      </c>
      <c r="G176" s="4">
        <v>2015.0</v>
      </c>
      <c r="H176" s="1" t="s">
        <v>1143</v>
      </c>
      <c r="I176" s="2"/>
      <c r="J176" s="5" t="s">
        <v>1144</v>
      </c>
      <c r="K176" s="14" t="s">
        <v>1145</v>
      </c>
      <c r="L176" s="2" t="s">
        <v>24</v>
      </c>
      <c r="M176" s="1" t="s">
        <v>1043</v>
      </c>
      <c r="N176" s="1"/>
      <c r="O176" s="7" t="s">
        <v>1146</v>
      </c>
      <c r="P176" s="2"/>
      <c r="Q176" s="2"/>
      <c r="R176" s="2"/>
      <c r="S176" s="2"/>
      <c r="T176" s="2"/>
      <c r="U176" s="2"/>
      <c r="V176" s="2"/>
      <c r="W176" s="2"/>
      <c r="X176" s="2"/>
    </row>
    <row r="177" ht="15.75" customHeight="1">
      <c r="A177" s="1" t="s">
        <v>1147</v>
      </c>
      <c r="B177" s="34" t="s">
        <v>1148</v>
      </c>
      <c r="C177" s="7" t="str">
        <f>HYPERLINK("http://rhelixa.com/","http://rhelixa.com/")</f>
        <v>http://rhelixa.com/</v>
      </c>
      <c r="D177" s="1" t="s">
        <v>567</v>
      </c>
      <c r="E177" s="2" t="s">
        <v>1149</v>
      </c>
      <c r="F177" s="4" t="s">
        <v>19</v>
      </c>
      <c r="G177" s="4">
        <v>2015.0</v>
      </c>
      <c r="H177" s="1" t="s">
        <v>1150</v>
      </c>
      <c r="I177" s="2" t="s">
        <v>147</v>
      </c>
      <c r="J177" s="5" t="s">
        <v>1151</v>
      </c>
      <c r="K177" s="14" t="s">
        <v>1152</v>
      </c>
      <c r="L177" s="2" t="s">
        <v>24</v>
      </c>
      <c r="M177" s="1"/>
      <c r="N177" s="1"/>
      <c r="O177" s="7" t="s">
        <v>1153</v>
      </c>
      <c r="P177" s="2"/>
      <c r="Q177" s="2"/>
      <c r="R177" s="2"/>
      <c r="S177" s="2"/>
      <c r="T177" s="2"/>
      <c r="U177" s="2"/>
      <c r="V177" s="2"/>
      <c r="W177" s="2"/>
      <c r="X177" s="2"/>
    </row>
    <row r="178" ht="15.75" customHeight="1">
      <c r="A178" s="1" t="s">
        <v>1154</v>
      </c>
      <c r="B178" s="34" t="s">
        <v>1155</v>
      </c>
      <c r="C178" s="7" t="str">
        <f>HYPERLINK("http://dfree.biz/","http://dfree.biz/")</f>
        <v>http://dfree.biz/</v>
      </c>
      <c r="D178" s="1" t="s">
        <v>239</v>
      </c>
      <c r="E178" s="2" t="s">
        <v>1156</v>
      </c>
      <c r="F178" s="4" t="s">
        <v>19</v>
      </c>
      <c r="G178" s="4">
        <v>2015.0</v>
      </c>
      <c r="H178" s="1" t="s">
        <v>1157</v>
      </c>
      <c r="I178" s="2" t="s">
        <v>147</v>
      </c>
      <c r="J178" s="5" t="s">
        <v>1158</v>
      </c>
      <c r="K178" s="14" t="s">
        <v>1158</v>
      </c>
      <c r="L178" s="2" t="s">
        <v>24</v>
      </c>
      <c r="M178" s="1"/>
      <c r="N178" s="1"/>
      <c r="O178" s="7" t="s">
        <v>1159</v>
      </c>
      <c r="P178" s="2"/>
      <c r="Q178" s="2"/>
      <c r="R178" s="2"/>
      <c r="S178" s="2"/>
      <c r="T178" s="2"/>
      <c r="U178" s="2"/>
      <c r="V178" s="2"/>
      <c r="W178" s="2"/>
      <c r="X178" s="2"/>
    </row>
    <row r="179" ht="15.75" customHeight="1">
      <c r="A179" s="1" t="s">
        <v>1160</v>
      </c>
      <c r="B179" s="34" t="s">
        <v>1161</v>
      </c>
      <c r="C179" s="7" t="str">
        <f>HYPERLINK("http://www.z-works.co.jp/","http://www.z-works.co.jp/")</f>
        <v>http://www.z-works.co.jp/</v>
      </c>
      <c r="D179" s="1" t="s">
        <v>56</v>
      </c>
      <c r="E179" s="2" t="s">
        <v>1162</v>
      </c>
      <c r="F179" s="4" t="s">
        <v>19</v>
      </c>
      <c r="G179" s="4">
        <v>2015.0</v>
      </c>
      <c r="H179" s="1" t="s">
        <v>1163</v>
      </c>
      <c r="I179" s="2" t="s">
        <v>147</v>
      </c>
      <c r="J179" s="5" t="s">
        <v>1164</v>
      </c>
      <c r="K179" s="14" t="s">
        <v>1165</v>
      </c>
      <c r="L179" s="2" t="s">
        <v>24</v>
      </c>
      <c r="M179" s="1"/>
      <c r="N179" s="1"/>
      <c r="O179" s="7" t="s">
        <v>1166</v>
      </c>
      <c r="P179" s="2"/>
      <c r="Q179" s="2"/>
      <c r="R179" s="2"/>
      <c r="S179" s="2"/>
      <c r="T179" s="2"/>
      <c r="U179" s="2"/>
      <c r="V179" s="2"/>
      <c r="W179" s="2"/>
      <c r="X179" s="2"/>
    </row>
    <row r="180" ht="15.75" customHeight="1">
      <c r="A180" s="1" t="s">
        <v>1167</v>
      </c>
      <c r="B180" s="34" t="s">
        <v>1168</v>
      </c>
      <c r="C180" s="7" t="str">
        <f>HYPERLINK("https://digikar.co.jp/company","https://digikar.co.jp/company")</f>
        <v>https://digikar.co.jp/company</v>
      </c>
      <c r="D180" s="1" t="s">
        <v>82</v>
      </c>
      <c r="E180" s="2" t="s">
        <v>1169</v>
      </c>
      <c r="F180" s="4" t="s">
        <v>19</v>
      </c>
      <c r="G180" s="4">
        <v>2015.0</v>
      </c>
      <c r="H180" s="1" t="s">
        <v>1170</v>
      </c>
      <c r="I180" s="2"/>
      <c r="J180" s="5" t="s">
        <v>1171</v>
      </c>
      <c r="K180" s="14" t="s">
        <v>1171</v>
      </c>
      <c r="L180" s="2" t="s">
        <v>24</v>
      </c>
      <c r="M180" s="1" t="s">
        <v>1043</v>
      </c>
      <c r="N180" s="1"/>
      <c r="O180" s="7" t="s">
        <v>1172</v>
      </c>
      <c r="P180" s="2"/>
      <c r="Q180" s="2"/>
      <c r="R180" s="2"/>
      <c r="S180" s="2"/>
      <c r="T180" s="2"/>
      <c r="U180" s="2"/>
      <c r="V180" s="2"/>
      <c r="W180" s="2"/>
      <c r="X180" s="2"/>
    </row>
    <row r="181" ht="15.75" customHeight="1">
      <c r="A181" s="1" t="s">
        <v>1173</v>
      </c>
      <c r="B181" s="34" t="s">
        <v>1174</v>
      </c>
      <c r="C181" s="7" t="str">
        <f>HYPERLINK("https://www.3sunny.net/","https://www.3sunny.net/")</f>
        <v>https://www.3sunny.net/</v>
      </c>
      <c r="D181" s="1" t="s">
        <v>56</v>
      </c>
      <c r="E181" s="2" t="s">
        <v>1175</v>
      </c>
      <c r="F181" s="4" t="s">
        <v>19</v>
      </c>
      <c r="G181" s="4">
        <v>2015.0</v>
      </c>
      <c r="H181" s="1" t="s">
        <v>1176</v>
      </c>
      <c r="I181" s="2" t="s">
        <v>93</v>
      </c>
      <c r="J181" s="5" t="s">
        <v>1177</v>
      </c>
      <c r="K181" s="14" t="s">
        <v>1177</v>
      </c>
      <c r="L181" s="2" t="s">
        <v>24</v>
      </c>
      <c r="M181" s="1"/>
      <c r="N181" s="1"/>
      <c r="O181" s="7" t="s">
        <v>1178</v>
      </c>
      <c r="P181" s="2"/>
      <c r="Q181" s="2"/>
      <c r="R181" s="2"/>
      <c r="S181" s="2"/>
      <c r="T181" s="2"/>
      <c r="U181" s="2"/>
      <c r="V181" s="2"/>
      <c r="W181" s="2"/>
      <c r="X181" s="2"/>
    </row>
    <row r="182" ht="15.75" customHeight="1">
      <c r="A182" s="13" t="s">
        <v>1179</v>
      </c>
      <c r="B182" s="34" t="s">
        <v>1180</v>
      </c>
      <c r="C182" s="25" t="s">
        <v>1181</v>
      </c>
      <c r="D182" s="1" t="s">
        <v>172</v>
      </c>
      <c r="E182" s="2" t="s">
        <v>1182</v>
      </c>
      <c r="F182" s="4" t="s">
        <v>19</v>
      </c>
      <c r="G182" s="4">
        <v>2015.0</v>
      </c>
      <c r="H182" s="1" t="s">
        <v>1183</v>
      </c>
      <c r="I182" s="2"/>
      <c r="J182" s="5" t="s">
        <v>1184</v>
      </c>
      <c r="K182" s="14" t="s">
        <v>1185</v>
      </c>
      <c r="L182" s="2" t="s">
        <v>24</v>
      </c>
      <c r="M182" s="13" t="s">
        <v>1186</v>
      </c>
      <c r="N182" s="1"/>
      <c r="O182" s="7" t="s">
        <v>1187</v>
      </c>
      <c r="P182" s="2"/>
      <c r="Q182" s="2"/>
      <c r="R182" s="2"/>
      <c r="S182" s="2"/>
      <c r="T182" s="2"/>
      <c r="U182" s="2"/>
      <c r="V182" s="2"/>
      <c r="W182" s="2"/>
      <c r="X182" s="2"/>
    </row>
    <row r="183" ht="15.75" customHeight="1">
      <c r="A183" s="1" t="s">
        <v>1188</v>
      </c>
      <c r="B183" s="34" t="s">
        <v>1189</v>
      </c>
      <c r="C183" s="7" t="s">
        <v>1190</v>
      </c>
      <c r="D183" s="1" t="s">
        <v>172</v>
      </c>
      <c r="E183" s="2" t="s">
        <v>1191</v>
      </c>
      <c r="F183" s="4" t="s">
        <v>19</v>
      </c>
      <c r="G183" s="4">
        <v>2015.0</v>
      </c>
      <c r="H183" s="1" t="s">
        <v>1192</v>
      </c>
      <c r="I183" s="2"/>
      <c r="J183" s="5" t="s">
        <v>1193</v>
      </c>
      <c r="K183" s="14" t="s">
        <v>1193</v>
      </c>
      <c r="L183" s="2" t="s">
        <v>24</v>
      </c>
      <c r="M183" s="1"/>
      <c r="N183" s="1"/>
      <c r="O183" s="7" t="s">
        <v>1194</v>
      </c>
      <c r="P183" s="2"/>
      <c r="Q183" s="2"/>
      <c r="R183" s="2"/>
      <c r="S183" s="2"/>
      <c r="T183" s="2"/>
      <c r="U183" s="2"/>
      <c r="V183" s="2"/>
      <c r="W183" s="2"/>
      <c r="X183" s="2"/>
    </row>
    <row r="184" ht="15.75" customHeight="1">
      <c r="A184" s="1" t="s">
        <v>1195</v>
      </c>
      <c r="B184" s="34" t="s">
        <v>1196</v>
      </c>
      <c r="C184" s="7" t="s">
        <v>1197</v>
      </c>
      <c r="D184" s="1" t="s">
        <v>144</v>
      </c>
      <c r="E184" s="47" t="s">
        <v>1198</v>
      </c>
      <c r="F184" s="4" t="s">
        <v>19</v>
      </c>
      <c r="G184" s="4">
        <v>2015.0</v>
      </c>
      <c r="H184" s="1" t="s">
        <v>1199</v>
      </c>
      <c r="I184" s="2"/>
      <c r="J184" s="5" t="s">
        <v>1200</v>
      </c>
      <c r="K184" s="14" t="s">
        <v>1200</v>
      </c>
      <c r="L184" s="2" t="s">
        <v>24</v>
      </c>
      <c r="M184" s="1"/>
      <c r="N184" s="1"/>
      <c r="O184" s="7" t="s">
        <v>1201</v>
      </c>
      <c r="P184" s="2"/>
      <c r="Q184" s="2"/>
      <c r="R184" s="2"/>
      <c r="S184" s="2"/>
      <c r="T184" s="2"/>
      <c r="U184" s="2"/>
      <c r="V184" s="2"/>
      <c r="W184" s="2"/>
      <c r="X184" s="2"/>
    </row>
    <row r="185" ht="15.75" customHeight="1">
      <c r="A185" s="1" t="s">
        <v>1202</v>
      </c>
      <c r="B185" s="34" t="s">
        <v>1203</v>
      </c>
      <c r="C185" s="7" t="s">
        <v>1204</v>
      </c>
      <c r="D185" s="1" t="s">
        <v>144</v>
      </c>
      <c r="E185" s="2" t="s">
        <v>1205</v>
      </c>
      <c r="F185" s="4" t="s">
        <v>19</v>
      </c>
      <c r="G185" s="4">
        <v>2015.0</v>
      </c>
      <c r="H185" s="1" t="s">
        <v>1206</v>
      </c>
      <c r="I185" s="2"/>
      <c r="J185" s="5" t="s">
        <v>1207</v>
      </c>
      <c r="K185" s="14" t="s">
        <v>1208</v>
      </c>
      <c r="L185" s="2" t="s">
        <v>24</v>
      </c>
      <c r="M185" s="1"/>
      <c r="N185" s="1"/>
      <c r="O185" s="7" t="s">
        <v>1209</v>
      </c>
      <c r="P185" s="2"/>
      <c r="Q185" s="2"/>
      <c r="R185" s="2"/>
      <c r="S185" s="2"/>
      <c r="T185" s="2"/>
      <c r="U185" s="2"/>
      <c r="V185" s="2"/>
      <c r="W185" s="2"/>
      <c r="X185" s="2"/>
    </row>
    <row r="186" ht="15.75" customHeight="1">
      <c r="A186" s="1" t="s">
        <v>1210</v>
      </c>
      <c r="B186" s="34" t="s">
        <v>1211</v>
      </c>
      <c r="C186" s="7" t="s">
        <v>1212</v>
      </c>
      <c r="D186" s="1" t="s">
        <v>144</v>
      </c>
      <c r="E186" s="2" t="s">
        <v>1213</v>
      </c>
      <c r="F186" s="4" t="s">
        <v>19</v>
      </c>
      <c r="G186" s="4">
        <v>2015.0</v>
      </c>
      <c r="H186" s="1" t="s">
        <v>1214</v>
      </c>
      <c r="I186" s="2"/>
      <c r="J186" s="5" t="s">
        <v>1215</v>
      </c>
      <c r="K186" s="14" t="s">
        <v>1215</v>
      </c>
      <c r="L186" s="2" t="s">
        <v>24</v>
      </c>
      <c r="M186" s="1"/>
      <c r="N186" s="1"/>
      <c r="O186" s="7" t="s">
        <v>1216</v>
      </c>
      <c r="P186" s="2"/>
      <c r="Q186" s="2"/>
      <c r="R186" s="2"/>
      <c r="S186" s="2"/>
      <c r="T186" s="2"/>
      <c r="U186" s="2"/>
      <c r="V186" s="2"/>
      <c r="W186" s="2"/>
      <c r="X186" s="2"/>
    </row>
    <row r="187" ht="15.75" customHeight="1">
      <c r="A187" s="1" t="s">
        <v>1217</v>
      </c>
      <c r="B187" s="34" t="s">
        <v>1218</v>
      </c>
      <c r="C187" s="7" t="str">
        <f>HYPERLINK("https://micin.jp/","https://micin.jp/")</f>
        <v>https://micin.jp/</v>
      </c>
      <c r="D187" s="31" t="s">
        <v>136</v>
      </c>
      <c r="E187" s="2" t="s">
        <v>1219</v>
      </c>
      <c r="F187" s="4" t="s">
        <v>19</v>
      </c>
      <c r="G187" s="4">
        <v>2015.0</v>
      </c>
      <c r="H187" s="1" t="s">
        <v>1220</v>
      </c>
      <c r="I187" s="2" t="s">
        <v>70</v>
      </c>
      <c r="J187" s="5" t="s">
        <v>1221</v>
      </c>
      <c r="K187" s="14" t="s">
        <v>1222</v>
      </c>
      <c r="L187" s="2" t="s">
        <v>24</v>
      </c>
      <c r="M187" s="1"/>
      <c r="N187" s="1"/>
      <c r="O187" s="7" t="s">
        <v>1223</v>
      </c>
      <c r="P187" s="2"/>
      <c r="Q187" s="2"/>
      <c r="R187" s="2"/>
      <c r="S187" s="2"/>
      <c r="T187" s="2"/>
      <c r="U187" s="2"/>
      <c r="V187" s="2"/>
      <c r="W187" s="2"/>
      <c r="X187" s="2"/>
    </row>
    <row r="188" ht="15.75" customHeight="1">
      <c r="A188" s="1" t="s">
        <v>1224</v>
      </c>
      <c r="B188" s="34" t="s">
        <v>1225</v>
      </c>
      <c r="C188" s="7" t="str">
        <f>HYPERLINK("https://melody.international/","https://melody.international/")</f>
        <v>https://melody.international/</v>
      </c>
      <c r="D188" s="1" t="s">
        <v>136</v>
      </c>
      <c r="E188" s="2" t="s">
        <v>1226</v>
      </c>
      <c r="F188" s="4" t="s">
        <v>1227</v>
      </c>
      <c r="G188" s="4">
        <v>2015.0</v>
      </c>
      <c r="H188" s="1" t="s">
        <v>1228</v>
      </c>
      <c r="I188" s="2" t="s">
        <v>93</v>
      </c>
      <c r="J188" s="5" t="s">
        <v>1229</v>
      </c>
      <c r="K188" s="5" t="s">
        <v>1229</v>
      </c>
      <c r="L188" s="2" t="s">
        <v>24</v>
      </c>
      <c r="M188" s="1"/>
      <c r="N188" s="1"/>
      <c r="O188" s="7" t="s">
        <v>1230</v>
      </c>
      <c r="P188" s="2"/>
      <c r="Q188" s="2"/>
      <c r="R188" s="2"/>
      <c r="S188" s="2"/>
      <c r="T188" s="2"/>
      <c r="U188" s="2"/>
      <c r="V188" s="2"/>
      <c r="W188" s="2"/>
      <c r="X188" s="2"/>
    </row>
    <row r="189" ht="15.75" customHeight="1">
      <c r="A189" s="1" t="s">
        <v>1231</v>
      </c>
      <c r="B189" s="48" t="s">
        <v>1232</v>
      </c>
      <c r="C189" s="7" t="s">
        <v>1233</v>
      </c>
      <c r="D189" s="1" t="s">
        <v>136</v>
      </c>
      <c r="E189" s="2" t="s">
        <v>1234</v>
      </c>
      <c r="F189" s="8" t="s">
        <v>19</v>
      </c>
      <c r="G189" s="4">
        <v>2015.0</v>
      </c>
      <c r="H189" s="1" t="s">
        <v>1235</v>
      </c>
      <c r="I189" s="2"/>
      <c r="J189" s="5" t="s">
        <v>1236</v>
      </c>
      <c r="K189" s="5" t="s">
        <v>1236</v>
      </c>
      <c r="L189" s="2" t="s">
        <v>24</v>
      </c>
      <c r="M189" s="1"/>
      <c r="N189" s="1"/>
      <c r="O189" s="7" t="s">
        <v>1237</v>
      </c>
      <c r="P189" s="2"/>
      <c r="Q189" s="2"/>
      <c r="R189" s="2"/>
      <c r="S189" s="2"/>
      <c r="T189" s="2"/>
      <c r="U189" s="2"/>
      <c r="V189" s="2"/>
      <c r="W189" s="2"/>
      <c r="X189" s="2"/>
    </row>
    <row r="190" ht="15.75" customHeight="1">
      <c r="A190" s="1" t="s">
        <v>1238</v>
      </c>
      <c r="B190" s="49" t="s">
        <v>1239</v>
      </c>
      <c r="C190" s="7" t="str">
        <f>HYPERLINK("http://m-d-l.co.jp/","http://m-d-l.co.jp/")</f>
        <v>http://m-d-l.co.jp/</v>
      </c>
      <c r="D190" s="13" t="s">
        <v>48</v>
      </c>
      <c r="E190" s="2" t="s">
        <v>1240</v>
      </c>
      <c r="F190" s="4" t="s">
        <v>19</v>
      </c>
      <c r="G190" s="4">
        <v>2015.0</v>
      </c>
      <c r="H190" s="1" t="s">
        <v>1241</v>
      </c>
      <c r="I190" s="2" t="s">
        <v>93</v>
      </c>
      <c r="J190" s="5" t="s">
        <v>1242</v>
      </c>
      <c r="K190" s="14" t="s">
        <v>1242</v>
      </c>
      <c r="L190" s="2" t="s">
        <v>24</v>
      </c>
      <c r="M190" s="1"/>
      <c r="N190" s="1"/>
      <c r="O190" s="7" t="s">
        <v>1243</v>
      </c>
      <c r="P190" s="2"/>
      <c r="Q190" s="2"/>
      <c r="R190" s="2"/>
      <c r="S190" s="2"/>
      <c r="T190" s="2"/>
      <c r="U190" s="2"/>
      <c r="V190" s="2"/>
      <c r="W190" s="2"/>
      <c r="X190" s="2"/>
    </row>
    <row r="191" ht="15.75" customHeight="1">
      <c r="A191" s="1" t="s">
        <v>1244</v>
      </c>
      <c r="B191" s="50" t="s">
        <v>1245</v>
      </c>
      <c r="C191" s="7" t="s">
        <v>1246</v>
      </c>
      <c r="D191" s="21" t="s">
        <v>266</v>
      </c>
      <c r="E191" s="20" t="s">
        <v>1247</v>
      </c>
      <c r="F191" s="4" t="s">
        <v>19</v>
      </c>
      <c r="G191" s="4">
        <v>2015.0</v>
      </c>
      <c r="H191" s="1" t="s">
        <v>1248</v>
      </c>
      <c r="I191" s="2"/>
      <c r="J191" s="5" t="s">
        <v>1249</v>
      </c>
      <c r="K191" s="51" t="s">
        <v>1250</v>
      </c>
      <c r="L191" s="2" t="s">
        <v>24</v>
      </c>
      <c r="M191" s="52" t="s">
        <v>1251</v>
      </c>
      <c r="N191" s="1"/>
      <c r="O191" s="7" t="s">
        <v>1252</v>
      </c>
      <c r="P191" s="2"/>
      <c r="Q191" s="2"/>
      <c r="R191" s="2"/>
      <c r="S191" s="2"/>
      <c r="T191" s="2"/>
      <c r="U191" s="2"/>
      <c r="V191" s="2"/>
      <c r="W191" s="2"/>
      <c r="X191" s="2"/>
    </row>
    <row r="192" ht="15.75" customHeight="1">
      <c r="A192" s="1" t="s">
        <v>1253</v>
      </c>
      <c r="B192" s="53" t="s">
        <v>1254</v>
      </c>
      <c r="C192" s="12" t="s">
        <v>1255</v>
      </c>
      <c r="D192" s="1" t="s">
        <v>17</v>
      </c>
      <c r="E192" s="2" t="s">
        <v>1256</v>
      </c>
      <c r="F192" s="4" t="s">
        <v>19</v>
      </c>
      <c r="G192" s="4">
        <v>2015.0</v>
      </c>
      <c r="H192" s="1" t="s">
        <v>1257</v>
      </c>
      <c r="I192" s="2"/>
      <c r="J192" s="5" t="s">
        <v>1258</v>
      </c>
      <c r="K192" s="54" t="s">
        <v>1259</v>
      </c>
      <c r="L192" s="2" t="s">
        <v>24</v>
      </c>
      <c r="M192" s="13" t="s">
        <v>1260</v>
      </c>
      <c r="N192" s="1"/>
      <c r="O192" s="7" t="s">
        <v>1261</v>
      </c>
      <c r="P192" s="2"/>
      <c r="Q192" s="2"/>
      <c r="R192" s="2"/>
      <c r="S192" s="2"/>
      <c r="T192" s="2"/>
      <c r="U192" s="2"/>
      <c r="V192" s="2"/>
      <c r="W192" s="2"/>
      <c r="X192" s="2"/>
    </row>
    <row r="193" ht="15.75" customHeight="1">
      <c r="A193" s="1" t="s">
        <v>1262</v>
      </c>
      <c r="B193" s="55" t="s">
        <v>1263</v>
      </c>
      <c r="C193" s="7" t="s">
        <v>1264</v>
      </c>
      <c r="D193" s="1" t="s">
        <v>17</v>
      </c>
      <c r="E193" s="2" t="s">
        <v>1265</v>
      </c>
      <c r="F193" s="4" t="s">
        <v>19</v>
      </c>
      <c r="G193" s="4">
        <v>2015.0</v>
      </c>
      <c r="H193" s="1" t="s">
        <v>1266</v>
      </c>
      <c r="I193" s="2" t="s">
        <v>147</v>
      </c>
      <c r="J193" s="5" t="s">
        <v>1267</v>
      </c>
      <c r="K193" s="5" t="s">
        <v>1267</v>
      </c>
      <c r="L193" s="2" t="s">
        <v>24</v>
      </c>
      <c r="M193" s="1"/>
      <c r="N193" s="1"/>
      <c r="O193" s="7" t="s">
        <v>1268</v>
      </c>
      <c r="P193" s="2"/>
      <c r="Q193" s="2"/>
      <c r="R193" s="2"/>
      <c r="S193" s="2"/>
      <c r="T193" s="2"/>
      <c r="U193" s="2"/>
      <c r="V193" s="2"/>
      <c r="W193" s="2"/>
      <c r="X193" s="2"/>
    </row>
    <row r="194" ht="15.75" customHeight="1">
      <c r="A194" s="1" t="s">
        <v>1269</v>
      </c>
      <c r="B194" s="55" t="s">
        <v>1270</v>
      </c>
      <c r="C194" s="7" t="str">
        <f>HYPERLINK("https://clintal.com/","https://clintal.com/")</f>
        <v>https://clintal.com/</v>
      </c>
      <c r="D194" s="1" t="s">
        <v>187</v>
      </c>
      <c r="E194" s="2" t="s">
        <v>1271</v>
      </c>
      <c r="F194" s="4" t="s">
        <v>19</v>
      </c>
      <c r="G194" s="4">
        <v>2015.0</v>
      </c>
      <c r="H194" s="1" t="s">
        <v>1272</v>
      </c>
      <c r="I194" s="2" t="s">
        <v>147</v>
      </c>
      <c r="J194" s="5" t="s">
        <v>1273</v>
      </c>
      <c r="K194" s="14"/>
      <c r="L194" s="2" t="s">
        <v>52</v>
      </c>
      <c r="M194" s="1" t="s">
        <v>1274</v>
      </c>
      <c r="N194" s="1"/>
      <c r="O194" s="7" t="s">
        <v>1275</v>
      </c>
      <c r="P194" s="2"/>
      <c r="Q194" s="2"/>
      <c r="R194" s="2"/>
      <c r="S194" s="2"/>
      <c r="T194" s="2"/>
      <c r="U194" s="2"/>
      <c r="V194" s="2"/>
      <c r="W194" s="2"/>
      <c r="X194" s="2"/>
    </row>
    <row r="195" ht="15.75" customHeight="1">
      <c r="A195" s="1" t="s">
        <v>1276</v>
      </c>
      <c r="B195" s="50" t="s">
        <v>1277</v>
      </c>
      <c r="C195" s="7" t="str">
        <f>HYPERLINK("http://www.medcare.jp/","http://www.medcare.jp/")</f>
        <v>http://www.medcare.jp/</v>
      </c>
      <c r="D195" s="1" t="s">
        <v>136</v>
      </c>
      <c r="E195" s="2" t="s">
        <v>1278</v>
      </c>
      <c r="F195" s="4" t="s">
        <v>19</v>
      </c>
      <c r="G195" s="4">
        <v>2015.0</v>
      </c>
      <c r="H195" s="1" t="s">
        <v>1279</v>
      </c>
      <c r="I195" s="2" t="s">
        <v>147</v>
      </c>
      <c r="J195" s="5" t="s">
        <v>1280</v>
      </c>
      <c r="K195" s="56" t="s">
        <v>1280</v>
      </c>
      <c r="L195" s="2" t="s">
        <v>24</v>
      </c>
      <c r="M195" s="1"/>
      <c r="N195" s="1"/>
      <c r="O195" s="7" t="s">
        <v>1281</v>
      </c>
      <c r="P195" s="2"/>
      <c r="Q195" s="2"/>
      <c r="R195" s="2"/>
      <c r="S195" s="2"/>
      <c r="T195" s="2"/>
      <c r="U195" s="2"/>
      <c r="V195" s="2"/>
      <c r="W195" s="2"/>
      <c r="X195" s="2"/>
    </row>
    <row r="196" ht="15.75" customHeight="1">
      <c r="A196" s="1" t="s">
        <v>1282</v>
      </c>
      <c r="B196" s="57" t="s">
        <v>1283</v>
      </c>
      <c r="C196" s="7" t="s">
        <v>1284</v>
      </c>
      <c r="D196" s="1" t="s">
        <v>152</v>
      </c>
      <c r="E196" s="2" t="s">
        <v>1285</v>
      </c>
      <c r="F196" s="4" t="s">
        <v>19</v>
      </c>
      <c r="G196" s="4">
        <v>2015.0</v>
      </c>
      <c r="H196" s="1" t="s">
        <v>1286</v>
      </c>
      <c r="I196" s="2"/>
      <c r="J196" s="5" t="s">
        <v>1287</v>
      </c>
      <c r="K196" s="14" t="s">
        <v>1288</v>
      </c>
      <c r="L196" s="2" t="s">
        <v>24</v>
      </c>
      <c r="M196" s="13" t="s">
        <v>1289</v>
      </c>
      <c r="N196" s="1"/>
      <c r="O196" s="7" t="s">
        <v>1290</v>
      </c>
      <c r="P196" s="2"/>
      <c r="Q196" s="2"/>
      <c r="R196" s="2"/>
      <c r="S196" s="2"/>
      <c r="T196" s="2"/>
      <c r="U196" s="2"/>
      <c r="V196" s="2"/>
      <c r="W196" s="2"/>
      <c r="X196" s="2"/>
    </row>
    <row r="197" ht="15.75" customHeight="1">
      <c r="A197" s="1" t="s">
        <v>1291</v>
      </c>
      <c r="B197" s="55" t="s">
        <v>1292</v>
      </c>
      <c r="C197" s="7" t="str">
        <f>HYPERLINK("http://www.comp.jp/","http://www.comp.jp/")</f>
        <v>http://www.comp.jp/</v>
      </c>
      <c r="D197" s="1" t="s">
        <v>116</v>
      </c>
      <c r="E197" s="2" t="s">
        <v>1293</v>
      </c>
      <c r="F197" s="4" t="s">
        <v>19</v>
      </c>
      <c r="G197" s="4">
        <v>2015.0</v>
      </c>
      <c r="H197" s="1" t="s">
        <v>1294</v>
      </c>
      <c r="I197" s="2" t="s">
        <v>93</v>
      </c>
      <c r="J197" s="5" t="s">
        <v>1295</v>
      </c>
      <c r="K197" s="14" t="s">
        <v>1295</v>
      </c>
      <c r="L197" s="2" t="s">
        <v>24</v>
      </c>
      <c r="M197" s="1"/>
      <c r="N197" s="1"/>
      <c r="O197" s="7" t="s">
        <v>1296</v>
      </c>
      <c r="P197" s="2"/>
      <c r="Q197" s="2"/>
      <c r="R197" s="2"/>
      <c r="S197" s="2"/>
      <c r="T197" s="2"/>
      <c r="U197" s="2"/>
      <c r="V197" s="2"/>
      <c r="W197" s="2"/>
      <c r="X197" s="2"/>
    </row>
    <row r="198" ht="15.75" customHeight="1">
      <c r="A198" s="1" t="s">
        <v>1297</v>
      </c>
      <c r="B198" s="50" t="s">
        <v>1298</v>
      </c>
      <c r="C198" s="7" t="s">
        <v>1299</v>
      </c>
      <c r="D198" s="1" t="s">
        <v>187</v>
      </c>
      <c r="E198" s="2" t="s">
        <v>1300</v>
      </c>
      <c r="F198" s="4" t="s">
        <v>19</v>
      </c>
      <c r="G198" s="4">
        <v>2015.0</v>
      </c>
      <c r="H198" s="1" t="s">
        <v>1301</v>
      </c>
      <c r="I198" s="2" t="s">
        <v>93</v>
      </c>
      <c r="J198" s="5" t="s">
        <v>1302</v>
      </c>
      <c r="K198" s="14" t="s">
        <v>1302</v>
      </c>
      <c r="L198" s="2" t="s">
        <v>24</v>
      </c>
      <c r="M198" s="1"/>
      <c r="N198" s="1"/>
      <c r="O198" s="7" t="s">
        <v>1303</v>
      </c>
      <c r="P198" s="2"/>
      <c r="Q198" s="2"/>
      <c r="R198" s="2"/>
      <c r="S198" s="2"/>
      <c r="T198" s="2"/>
      <c r="U198" s="2"/>
      <c r="V198" s="2"/>
      <c r="W198" s="2"/>
      <c r="X198" s="2"/>
    </row>
    <row r="199" ht="15.75" customHeight="1">
      <c r="A199" s="1" t="s">
        <v>1304</v>
      </c>
      <c r="B199" s="50" t="s">
        <v>1305</v>
      </c>
      <c r="C199" s="7" t="s">
        <v>1306</v>
      </c>
      <c r="D199" s="1" t="s">
        <v>187</v>
      </c>
      <c r="E199" s="2" t="s">
        <v>1307</v>
      </c>
      <c r="F199" s="4" t="s">
        <v>19</v>
      </c>
      <c r="G199" s="4">
        <v>2015.0</v>
      </c>
      <c r="H199" s="1" t="s">
        <v>1308</v>
      </c>
      <c r="I199" s="2" t="s">
        <v>147</v>
      </c>
      <c r="J199" s="5" t="s">
        <v>1309</v>
      </c>
      <c r="K199" s="5" t="s">
        <v>1310</v>
      </c>
      <c r="L199" s="2" t="s">
        <v>24</v>
      </c>
      <c r="M199" s="1"/>
      <c r="N199" s="1"/>
      <c r="O199" s="7" t="s">
        <v>1311</v>
      </c>
      <c r="P199" s="2"/>
      <c r="Q199" s="2"/>
      <c r="R199" s="2"/>
      <c r="S199" s="2"/>
      <c r="T199" s="2"/>
      <c r="U199" s="2"/>
      <c r="V199" s="2"/>
      <c r="W199" s="2"/>
      <c r="X199" s="2"/>
    </row>
    <row r="200" ht="15.75" customHeight="1">
      <c r="A200" s="1" t="s">
        <v>1312</v>
      </c>
      <c r="B200" s="58" t="s">
        <v>1313</v>
      </c>
      <c r="C200" s="12" t="s">
        <v>1314</v>
      </c>
      <c r="D200" s="1" t="s">
        <v>17</v>
      </c>
      <c r="E200" s="2" t="s">
        <v>1315</v>
      </c>
      <c r="F200" s="4" t="s">
        <v>19</v>
      </c>
      <c r="G200" s="4">
        <v>2015.0</v>
      </c>
      <c r="H200" s="1" t="s">
        <v>1316</v>
      </c>
      <c r="I200" s="2"/>
      <c r="J200" s="5" t="s">
        <v>1317</v>
      </c>
      <c r="K200" s="14" t="s">
        <v>1317</v>
      </c>
      <c r="L200" s="2" t="s">
        <v>24</v>
      </c>
      <c r="M200" s="1"/>
      <c r="N200" s="1"/>
      <c r="O200" s="7" t="s">
        <v>1318</v>
      </c>
      <c r="P200" s="2"/>
      <c r="Q200" s="2"/>
      <c r="R200" s="2"/>
      <c r="S200" s="2"/>
      <c r="T200" s="2"/>
      <c r="U200" s="2"/>
      <c r="V200" s="2"/>
      <c r="W200" s="2"/>
      <c r="X200" s="2"/>
    </row>
    <row r="201" ht="15.75" customHeight="1">
      <c r="A201" s="1" t="s">
        <v>1319</v>
      </c>
      <c r="B201" s="58" t="s">
        <v>1320</v>
      </c>
      <c r="C201" s="12" t="s">
        <v>1321</v>
      </c>
      <c r="D201" s="1" t="s">
        <v>187</v>
      </c>
      <c r="E201" s="2" t="s">
        <v>1322</v>
      </c>
      <c r="F201" s="4" t="s">
        <v>355</v>
      </c>
      <c r="G201" s="4">
        <v>2015.0</v>
      </c>
      <c r="H201" s="1" t="s">
        <v>1323</v>
      </c>
      <c r="I201" s="2"/>
      <c r="J201" s="5" t="s">
        <v>1324</v>
      </c>
      <c r="K201" s="14" t="s">
        <v>1324</v>
      </c>
      <c r="L201" s="2" t="s">
        <v>24</v>
      </c>
      <c r="M201" s="1"/>
      <c r="N201" s="1"/>
      <c r="O201" s="7" t="s">
        <v>1325</v>
      </c>
      <c r="P201" s="2"/>
      <c r="Q201" s="2"/>
      <c r="R201" s="2"/>
      <c r="S201" s="2"/>
      <c r="T201" s="2"/>
      <c r="U201" s="2"/>
      <c r="V201" s="2"/>
      <c r="W201" s="2"/>
      <c r="X201" s="2"/>
    </row>
    <row r="202" ht="15.75" customHeight="1">
      <c r="A202" s="1" t="s">
        <v>1326</v>
      </c>
      <c r="B202" s="50" t="s">
        <v>1327</v>
      </c>
      <c r="C202" s="7" t="str">
        <f>HYPERLINK("http://logbii.co.jp/","http://logbii.co.jp/")</f>
        <v>http://logbii.co.jp/</v>
      </c>
      <c r="D202" s="1" t="s">
        <v>56</v>
      </c>
      <c r="E202" s="2" t="s">
        <v>1328</v>
      </c>
      <c r="F202" s="4" t="s">
        <v>19</v>
      </c>
      <c r="G202" s="4">
        <v>2015.0</v>
      </c>
      <c r="H202" s="1" t="s">
        <v>1329</v>
      </c>
      <c r="I202" s="2"/>
      <c r="J202" s="5" t="s">
        <v>1330</v>
      </c>
      <c r="K202" s="14" t="s">
        <v>1330</v>
      </c>
      <c r="L202" s="2" t="s">
        <v>24</v>
      </c>
      <c r="M202" s="1"/>
      <c r="N202" s="1"/>
      <c r="O202" s="7" t="s">
        <v>1331</v>
      </c>
      <c r="P202" s="2"/>
      <c r="Q202" s="2"/>
      <c r="R202" s="2"/>
      <c r="S202" s="2"/>
      <c r="T202" s="2"/>
      <c r="U202" s="2"/>
      <c r="V202" s="2"/>
      <c r="W202" s="2"/>
      <c r="X202" s="2"/>
    </row>
    <row r="203" ht="15.75" customHeight="1">
      <c r="A203" s="1" t="s">
        <v>1332</v>
      </c>
      <c r="B203" s="40" t="s">
        <v>1333</v>
      </c>
      <c r="C203" s="7" t="s">
        <v>1334</v>
      </c>
      <c r="D203" s="1" t="s">
        <v>187</v>
      </c>
      <c r="E203" s="2" t="s">
        <v>1335</v>
      </c>
      <c r="F203" s="4" t="s">
        <v>19</v>
      </c>
      <c r="G203" s="4">
        <v>2015.0</v>
      </c>
      <c r="H203" s="1" t="s">
        <v>1336</v>
      </c>
      <c r="I203" s="2"/>
      <c r="J203" s="5" t="s">
        <v>1337</v>
      </c>
      <c r="K203" s="5" t="s">
        <v>1337</v>
      </c>
      <c r="L203" s="2" t="s">
        <v>24</v>
      </c>
      <c r="M203" s="1"/>
      <c r="N203" s="1"/>
      <c r="O203" s="7" t="s">
        <v>1338</v>
      </c>
      <c r="P203" s="2"/>
      <c r="Q203" s="2"/>
      <c r="R203" s="2"/>
      <c r="S203" s="2"/>
      <c r="T203" s="2"/>
      <c r="U203" s="2"/>
      <c r="V203" s="2"/>
      <c r="W203" s="2"/>
      <c r="X203" s="2"/>
    </row>
    <row r="204" ht="15.75" customHeight="1">
      <c r="A204" s="1" t="s">
        <v>1339</v>
      </c>
      <c r="B204" s="40" t="s">
        <v>1340</v>
      </c>
      <c r="C204" s="7" t="s">
        <v>1341</v>
      </c>
      <c r="D204" s="1" t="s">
        <v>17</v>
      </c>
      <c r="E204" s="2" t="s">
        <v>1112</v>
      </c>
      <c r="F204" s="4" t="s">
        <v>19</v>
      </c>
      <c r="G204" s="4">
        <v>2015.0</v>
      </c>
      <c r="H204" s="1" t="s">
        <v>1342</v>
      </c>
      <c r="I204" s="2" t="s">
        <v>147</v>
      </c>
      <c r="J204" s="5" t="s">
        <v>1343</v>
      </c>
      <c r="K204" s="5" t="s">
        <v>1343</v>
      </c>
      <c r="L204" s="2" t="s">
        <v>24</v>
      </c>
      <c r="M204" s="1"/>
      <c r="N204" s="1"/>
      <c r="O204" s="7" t="s">
        <v>1344</v>
      </c>
      <c r="P204" s="2"/>
      <c r="Q204" s="2"/>
      <c r="R204" s="2"/>
      <c r="S204" s="2"/>
      <c r="T204" s="2"/>
      <c r="U204" s="2"/>
      <c r="V204" s="2"/>
      <c r="W204" s="2"/>
      <c r="X204" s="2"/>
    </row>
    <row r="205" ht="15.75" customHeight="1">
      <c r="A205" s="1" t="s">
        <v>1345</v>
      </c>
      <c r="B205" s="40" t="s">
        <v>1346</v>
      </c>
      <c r="C205" s="7" t="s">
        <v>1347</v>
      </c>
      <c r="D205" s="1" t="s">
        <v>56</v>
      </c>
      <c r="E205" s="2" t="s">
        <v>1348</v>
      </c>
      <c r="F205" s="4" t="s">
        <v>19</v>
      </c>
      <c r="G205" s="4">
        <v>2015.0</v>
      </c>
      <c r="H205" s="1" t="s">
        <v>1349</v>
      </c>
      <c r="I205" s="2"/>
      <c r="J205" s="5" t="s">
        <v>1350</v>
      </c>
      <c r="K205" s="5" t="s">
        <v>1350</v>
      </c>
      <c r="L205" s="2" t="s">
        <v>24</v>
      </c>
      <c r="M205" s="1"/>
      <c r="N205" s="1"/>
      <c r="O205" s="7" t="s">
        <v>1351</v>
      </c>
      <c r="P205" s="2"/>
      <c r="Q205" s="2"/>
      <c r="R205" s="2"/>
      <c r="S205" s="2"/>
      <c r="T205" s="2"/>
      <c r="U205" s="2"/>
      <c r="V205" s="2"/>
      <c r="W205" s="2"/>
      <c r="X205" s="2"/>
    </row>
    <row r="206" ht="15.75" customHeight="1">
      <c r="A206" s="1" t="s">
        <v>1352</v>
      </c>
      <c r="B206" s="34" t="s">
        <v>1353</v>
      </c>
      <c r="C206" s="7" t="str">
        <f>HYPERLINK("https://kakehashi.life/","https://kakehashi.life/")</f>
        <v>https://kakehashi.life/</v>
      </c>
      <c r="D206" s="1" t="s">
        <v>179</v>
      </c>
      <c r="E206" s="2" t="s">
        <v>1354</v>
      </c>
      <c r="F206" s="4" t="s">
        <v>19</v>
      </c>
      <c r="G206" s="4">
        <v>2016.0</v>
      </c>
      <c r="H206" s="1" t="s">
        <v>1355</v>
      </c>
      <c r="I206" s="2" t="s">
        <v>21</v>
      </c>
      <c r="J206" s="5" t="s">
        <v>1356</v>
      </c>
      <c r="K206" s="5" t="s">
        <v>1356</v>
      </c>
      <c r="L206" s="2" t="s">
        <v>24</v>
      </c>
      <c r="M206" s="1"/>
      <c r="N206" s="1"/>
      <c r="O206" s="7" t="s">
        <v>1357</v>
      </c>
      <c r="P206" s="2"/>
      <c r="Q206" s="2"/>
      <c r="R206" s="2"/>
      <c r="S206" s="2"/>
      <c r="T206" s="2"/>
      <c r="U206" s="2"/>
      <c r="V206" s="2"/>
      <c r="W206" s="2"/>
      <c r="X206" s="2"/>
    </row>
    <row r="207" ht="15.75" customHeight="1">
      <c r="A207" s="1" t="s">
        <v>1358</v>
      </c>
      <c r="B207" s="34" t="s">
        <v>1359</v>
      </c>
      <c r="C207" s="7" t="str">
        <f>HYPERLINK("https://tink.co.jp/","https://tink.co.jp/")</f>
        <v>https://tink.co.jp/</v>
      </c>
      <c r="D207" s="13" t="s">
        <v>74</v>
      </c>
      <c r="E207" s="2" t="s">
        <v>1360</v>
      </c>
      <c r="F207" s="4" t="s">
        <v>19</v>
      </c>
      <c r="G207" s="4">
        <v>2016.0</v>
      </c>
      <c r="H207" s="1" t="s">
        <v>1361</v>
      </c>
      <c r="I207" s="2"/>
      <c r="J207" s="5" t="s">
        <v>1362</v>
      </c>
      <c r="K207" s="5" t="s">
        <v>1362</v>
      </c>
      <c r="L207" s="2" t="s">
        <v>52</v>
      </c>
      <c r="M207" s="1"/>
      <c r="N207" s="1"/>
      <c r="O207" s="7" t="s">
        <v>1363</v>
      </c>
      <c r="P207" s="2"/>
      <c r="Q207" s="2"/>
      <c r="R207" s="2"/>
      <c r="S207" s="2"/>
      <c r="T207" s="2"/>
      <c r="U207" s="2"/>
      <c r="V207" s="2"/>
      <c r="W207" s="2"/>
      <c r="X207" s="2"/>
    </row>
    <row r="208" ht="15.75" customHeight="1">
      <c r="A208" s="1" t="s">
        <v>1364</v>
      </c>
      <c r="B208" s="37" t="s">
        <v>1365</v>
      </c>
      <c r="C208" s="12" t="s">
        <v>1366</v>
      </c>
      <c r="D208" s="1" t="s">
        <v>56</v>
      </c>
      <c r="E208" s="20" t="s">
        <v>1367</v>
      </c>
      <c r="F208" s="4" t="s">
        <v>19</v>
      </c>
      <c r="G208" s="4">
        <v>2016.0</v>
      </c>
      <c r="H208" s="1" t="s">
        <v>1368</v>
      </c>
      <c r="I208" s="2" t="s">
        <v>93</v>
      </c>
      <c r="J208" s="5" t="s">
        <v>1369</v>
      </c>
      <c r="K208" s="5" t="s">
        <v>1369</v>
      </c>
      <c r="L208" s="2" t="s">
        <v>24</v>
      </c>
      <c r="M208" s="1"/>
      <c r="N208" s="1"/>
      <c r="O208" s="7" t="s">
        <v>1370</v>
      </c>
      <c r="P208" s="2"/>
      <c r="Q208" s="2"/>
      <c r="R208" s="2"/>
      <c r="S208" s="2"/>
      <c r="T208" s="2"/>
      <c r="U208" s="2"/>
      <c r="V208" s="2"/>
      <c r="W208" s="2"/>
      <c r="X208" s="2"/>
    </row>
    <row r="209" ht="15.75" customHeight="1">
      <c r="A209" s="1" t="s">
        <v>1371</v>
      </c>
      <c r="B209" s="50" t="s">
        <v>1372</v>
      </c>
      <c r="C209" s="7" t="s">
        <v>1373</v>
      </c>
      <c r="D209" s="1" t="s">
        <v>56</v>
      </c>
      <c r="E209" s="2" t="s">
        <v>1374</v>
      </c>
      <c r="F209" s="4" t="s">
        <v>19</v>
      </c>
      <c r="G209" s="4">
        <v>2016.0</v>
      </c>
      <c r="H209" s="1" t="s">
        <v>1375</v>
      </c>
      <c r="I209" s="2" t="s">
        <v>147</v>
      </c>
      <c r="J209" s="5" t="s">
        <v>1376</v>
      </c>
      <c r="K209" s="5" t="s">
        <v>1376</v>
      </c>
      <c r="L209" s="2" t="s">
        <v>24</v>
      </c>
      <c r="M209" s="1"/>
      <c r="N209" s="1"/>
      <c r="O209" s="7" t="s">
        <v>1377</v>
      </c>
      <c r="P209" s="2"/>
      <c r="Q209" s="2"/>
      <c r="R209" s="2"/>
      <c r="S209" s="2"/>
      <c r="T209" s="2"/>
      <c r="U209" s="2"/>
      <c r="V209" s="2"/>
      <c r="W209" s="2"/>
      <c r="X209" s="2"/>
    </row>
    <row r="210" ht="15.75" customHeight="1">
      <c r="A210" s="1" t="s">
        <v>1378</v>
      </c>
      <c r="B210" s="50" t="s">
        <v>1379</v>
      </c>
      <c r="C210" s="7" t="s">
        <v>1380</v>
      </c>
      <c r="D210" s="1" t="s">
        <v>187</v>
      </c>
      <c r="E210" s="2" t="s">
        <v>1381</v>
      </c>
      <c r="F210" s="4" t="s">
        <v>19</v>
      </c>
      <c r="G210" s="4">
        <v>2016.0</v>
      </c>
      <c r="H210" s="1" t="s">
        <v>1382</v>
      </c>
      <c r="I210" s="2" t="s">
        <v>93</v>
      </c>
      <c r="J210" s="5" t="s">
        <v>1383</v>
      </c>
      <c r="K210" s="5" t="s">
        <v>1383</v>
      </c>
      <c r="L210" s="2" t="s">
        <v>24</v>
      </c>
      <c r="M210" s="1"/>
      <c r="N210" s="1"/>
      <c r="O210" s="7" t="s">
        <v>1384</v>
      </c>
      <c r="P210" s="2"/>
      <c r="Q210" s="2"/>
      <c r="R210" s="2"/>
      <c r="S210" s="2"/>
      <c r="T210" s="2"/>
      <c r="U210" s="2"/>
      <c r="V210" s="2"/>
      <c r="W210" s="2"/>
      <c r="X210" s="2"/>
    </row>
    <row r="211" ht="15.75" customHeight="1">
      <c r="A211" s="1" t="s">
        <v>1385</v>
      </c>
      <c r="B211" s="55" t="s">
        <v>1386</v>
      </c>
      <c r="C211" s="7" t="str">
        <f>HYPERLINK("https://www.backtech.co.jp/","https://www.backtech.co.jp/")</f>
        <v>https://www.backtech.co.jp/</v>
      </c>
      <c r="D211" s="1" t="s">
        <v>152</v>
      </c>
      <c r="E211" s="2" t="s">
        <v>1387</v>
      </c>
      <c r="F211" s="4" t="s">
        <v>499</v>
      </c>
      <c r="G211" s="4">
        <v>2016.0</v>
      </c>
      <c r="H211" s="1" t="s">
        <v>1388</v>
      </c>
      <c r="I211" s="2"/>
      <c r="J211" s="5" t="s">
        <v>1389</v>
      </c>
      <c r="K211" s="5" t="s">
        <v>1389</v>
      </c>
      <c r="L211" s="2" t="s">
        <v>24</v>
      </c>
      <c r="M211" s="1"/>
      <c r="N211" s="1"/>
      <c r="O211" s="7" t="s">
        <v>1390</v>
      </c>
      <c r="P211" s="2"/>
      <c r="Q211" s="2"/>
      <c r="R211" s="2"/>
      <c r="S211" s="2"/>
      <c r="T211" s="2"/>
      <c r="U211" s="2"/>
      <c r="V211" s="2"/>
      <c r="W211" s="2"/>
      <c r="X211" s="2"/>
    </row>
    <row r="212" ht="15.75" customHeight="1">
      <c r="A212" s="1" t="s">
        <v>1391</v>
      </c>
      <c r="B212" s="55" t="s">
        <v>1392</v>
      </c>
      <c r="C212" s="7" t="s">
        <v>1393</v>
      </c>
      <c r="D212" s="1" t="s">
        <v>152</v>
      </c>
      <c r="E212" s="59" t="s">
        <v>1394</v>
      </c>
      <c r="F212" s="4" t="s">
        <v>19</v>
      </c>
      <c r="G212" s="4">
        <v>2016.0</v>
      </c>
      <c r="H212" s="1" t="s">
        <v>1395</v>
      </c>
      <c r="I212" s="2"/>
      <c r="J212" s="5" t="s">
        <v>1396</v>
      </c>
      <c r="K212" s="5" t="s">
        <v>1396</v>
      </c>
      <c r="L212" s="2" t="s">
        <v>24</v>
      </c>
      <c r="M212" s="1"/>
      <c r="N212" s="1"/>
      <c r="O212" s="7" t="s">
        <v>1397</v>
      </c>
      <c r="P212" s="2"/>
      <c r="Q212" s="2"/>
      <c r="R212" s="2"/>
      <c r="S212" s="2"/>
      <c r="T212" s="2"/>
      <c r="U212" s="2"/>
      <c r="V212" s="2"/>
      <c r="W212" s="2"/>
      <c r="X212" s="2"/>
    </row>
    <row r="213" ht="15.75" customHeight="1">
      <c r="A213" s="1" t="s">
        <v>1398</v>
      </c>
      <c r="B213" s="55" t="s">
        <v>1399</v>
      </c>
      <c r="C213" s="7" t="s">
        <v>1400</v>
      </c>
      <c r="D213" s="1" t="s">
        <v>152</v>
      </c>
      <c r="E213" s="2" t="s">
        <v>1401</v>
      </c>
      <c r="F213" s="4" t="s">
        <v>19</v>
      </c>
      <c r="G213" s="4">
        <v>2016.0</v>
      </c>
      <c r="H213" s="1" t="s">
        <v>1402</v>
      </c>
      <c r="I213" s="2"/>
      <c r="J213" s="5" t="s">
        <v>1403</v>
      </c>
      <c r="K213" s="14" t="s">
        <v>1404</v>
      </c>
      <c r="L213" s="2" t="s">
        <v>24</v>
      </c>
      <c r="M213" s="1"/>
      <c r="N213" s="1"/>
      <c r="O213" s="7" t="s">
        <v>1405</v>
      </c>
      <c r="P213" s="2"/>
      <c r="Q213" s="2"/>
      <c r="R213" s="2"/>
      <c r="S213" s="2"/>
      <c r="T213" s="2"/>
      <c r="U213" s="2"/>
      <c r="V213" s="2"/>
      <c r="W213" s="2"/>
      <c r="X213" s="2"/>
    </row>
    <row r="214" ht="15.75" customHeight="1">
      <c r="A214" s="1" t="s">
        <v>1406</v>
      </c>
      <c r="B214" s="55" t="s">
        <v>1407</v>
      </c>
      <c r="C214" s="7" t="str">
        <f>HYPERLINK("http://nanotis.net/","http://nanotis.net/")</f>
        <v>http://nanotis.net/</v>
      </c>
      <c r="D214" s="1" t="s">
        <v>567</v>
      </c>
      <c r="E214" s="2" t="s">
        <v>1408</v>
      </c>
      <c r="F214" s="4" t="s">
        <v>19</v>
      </c>
      <c r="G214" s="4">
        <v>2016.0</v>
      </c>
      <c r="H214" s="1" t="s">
        <v>1409</v>
      </c>
      <c r="I214" s="2"/>
      <c r="J214" s="5" t="s">
        <v>1410</v>
      </c>
      <c r="K214" s="14" t="s">
        <v>1411</v>
      </c>
      <c r="L214" s="2" t="s">
        <v>24</v>
      </c>
      <c r="M214" s="1"/>
      <c r="N214" s="1"/>
      <c r="O214" s="7" t="s">
        <v>1412</v>
      </c>
      <c r="P214" s="2"/>
      <c r="Q214" s="2"/>
      <c r="R214" s="2"/>
      <c r="S214" s="2"/>
      <c r="T214" s="2"/>
      <c r="U214" s="2"/>
      <c r="V214" s="2"/>
      <c r="W214" s="2"/>
      <c r="X214" s="2"/>
    </row>
    <row r="215" ht="15.75" customHeight="1">
      <c r="A215" s="1" t="s">
        <v>1413</v>
      </c>
      <c r="B215" s="53" t="s">
        <v>1414</v>
      </c>
      <c r="C215" s="12" t="s">
        <v>1415</v>
      </c>
      <c r="D215" s="1" t="s">
        <v>239</v>
      </c>
      <c r="E215" s="2" t="s">
        <v>1416</v>
      </c>
      <c r="F215" s="4" t="s">
        <v>19</v>
      </c>
      <c r="G215" s="4">
        <v>2016.0</v>
      </c>
      <c r="H215" s="1" t="s">
        <v>1417</v>
      </c>
      <c r="I215" s="2"/>
      <c r="J215" s="5" t="s">
        <v>1418</v>
      </c>
      <c r="K215" s="60" t="s">
        <v>1418</v>
      </c>
      <c r="L215" s="2" t="s">
        <v>24</v>
      </c>
      <c r="M215" s="1"/>
      <c r="N215" s="1"/>
      <c r="O215" s="7" t="s">
        <v>1419</v>
      </c>
      <c r="P215" s="2"/>
      <c r="Q215" s="2"/>
      <c r="R215" s="2"/>
      <c r="S215" s="2"/>
      <c r="T215" s="2"/>
      <c r="U215" s="2"/>
      <c r="V215" s="2"/>
      <c r="W215" s="2"/>
      <c r="X215" s="2"/>
    </row>
    <row r="216" ht="15.75" customHeight="1">
      <c r="A216" s="1" t="s">
        <v>1420</v>
      </c>
      <c r="B216" s="57" t="s">
        <v>1421</v>
      </c>
      <c r="C216" s="7" t="str">
        <f>HYPERLINK("http://www.lilymedtech.com/","http://www.lilymedtech.com/")</f>
        <v>http://www.lilymedtech.com/</v>
      </c>
      <c r="D216" s="1" t="s">
        <v>39</v>
      </c>
      <c r="E216" s="2" t="s">
        <v>1422</v>
      </c>
      <c r="F216" s="4" t="s">
        <v>19</v>
      </c>
      <c r="G216" s="4">
        <v>2016.0</v>
      </c>
      <c r="H216" s="1" t="s">
        <v>1423</v>
      </c>
      <c r="I216" s="2"/>
      <c r="J216" s="5" t="s">
        <v>1424</v>
      </c>
      <c r="K216" s="5" t="s">
        <v>1424</v>
      </c>
      <c r="L216" s="2" t="s">
        <v>24</v>
      </c>
      <c r="M216" s="1"/>
      <c r="N216" s="1"/>
      <c r="O216" s="7" t="s">
        <v>1425</v>
      </c>
      <c r="P216" s="2"/>
      <c r="Q216" s="2"/>
      <c r="R216" s="2"/>
      <c r="S216" s="2"/>
      <c r="T216" s="2"/>
      <c r="U216" s="2"/>
      <c r="V216" s="2"/>
      <c r="W216" s="2"/>
      <c r="X216" s="2"/>
    </row>
    <row r="217" ht="15.75" customHeight="1">
      <c r="A217" s="1" t="s">
        <v>1426</v>
      </c>
      <c r="B217" s="50" t="s">
        <v>1427</v>
      </c>
      <c r="C217" s="7" t="str">
        <f>HYPERLINK("https://www.healtheeone.com/","https://www.healtheeone.com/")</f>
        <v>https://www.healtheeone.com/</v>
      </c>
      <c r="D217" s="1" t="s">
        <v>56</v>
      </c>
      <c r="E217" s="2" t="s">
        <v>1428</v>
      </c>
      <c r="F217" s="4" t="s">
        <v>1429</v>
      </c>
      <c r="G217" s="4">
        <v>2016.0</v>
      </c>
      <c r="H217" s="1" t="s">
        <v>1430</v>
      </c>
      <c r="I217" s="2" t="s">
        <v>147</v>
      </c>
      <c r="J217" s="5" t="s">
        <v>1431</v>
      </c>
      <c r="K217" s="5" t="s">
        <v>1431</v>
      </c>
      <c r="L217" s="2" t="s">
        <v>24</v>
      </c>
      <c r="M217" s="1"/>
      <c r="N217" s="1"/>
      <c r="O217" s="7" t="s">
        <v>1432</v>
      </c>
      <c r="P217" s="2"/>
      <c r="Q217" s="2"/>
      <c r="R217" s="2"/>
      <c r="S217" s="2"/>
      <c r="T217" s="2"/>
      <c r="U217" s="2"/>
      <c r="V217" s="2"/>
      <c r="W217" s="2"/>
      <c r="X217" s="2"/>
    </row>
    <row r="218" ht="15.75" customHeight="1">
      <c r="A218" s="1" t="s">
        <v>1433</v>
      </c>
      <c r="B218" s="57" t="s">
        <v>1434</v>
      </c>
      <c r="C218" s="7" t="s">
        <v>1435</v>
      </c>
      <c r="D218" s="1" t="s">
        <v>56</v>
      </c>
      <c r="E218" s="2" t="s">
        <v>1436</v>
      </c>
      <c r="F218" s="4" t="s">
        <v>19</v>
      </c>
      <c r="G218" s="4">
        <v>2016.0</v>
      </c>
      <c r="H218" s="1" t="s">
        <v>1437</v>
      </c>
      <c r="I218" s="2"/>
      <c r="J218" s="5" t="s">
        <v>1438</v>
      </c>
      <c r="K218" s="14" t="s">
        <v>1438</v>
      </c>
      <c r="L218" s="2" t="s">
        <v>24</v>
      </c>
      <c r="M218" s="1"/>
      <c r="N218" s="1"/>
      <c r="O218" s="7" t="s">
        <v>1439</v>
      </c>
      <c r="P218" s="2"/>
      <c r="Q218" s="2"/>
      <c r="R218" s="2"/>
      <c r="S218" s="2"/>
      <c r="T218" s="2"/>
      <c r="U218" s="2"/>
      <c r="V218" s="2"/>
      <c r="W218" s="2"/>
      <c r="X218" s="2"/>
    </row>
    <row r="219" ht="15.75" customHeight="1">
      <c r="A219" s="1" t="s">
        <v>1440</v>
      </c>
      <c r="B219" s="55" t="s">
        <v>1441</v>
      </c>
      <c r="C219" s="7" t="s">
        <v>1442</v>
      </c>
      <c r="D219" s="1" t="s">
        <v>56</v>
      </c>
      <c r="E219" s="2" t="s">
        <v>1443</v>
      </c>
      <c r="F219" s="4" t="s">
        <v>1444</v>
      </c>
      <c r="G219" s="4">
        <v>2016.0</v>
      </c>
      <c r="H219" s="1" t="s">
        <v>1445</v>
      </c>
      <c r="I219" s="2"/>
      <c r="J219" s="5" t="s">
        <v>1446</v>
      </c>
      <c r="K219" s="14" t="s">
        <v>1446</v>
      </c>
      <c r="L219" s="2" t="s">
        <v>24</v>
      </c>
      <c r="M219" s="1"/>
      <c r="N219" s="1"/>
      <c r="O219" s="7" t="s">
        <v>1447</v>
      </c>
      <c r="P219" s="2"/>
      <c r="Q219" s="2"/>
      <c r="R219" s="2"/>
      <c r="S219" s="2"/>
      <c r="T219" s="2"/>
      <c r="U219" s="2"/>
      <c r="V219" s="2"/>
      <c r="W219" s="2"/>
      <c r="X219" s="2"/>
    </row>
    <row r="220" ht="15.75" customHeight="1">
      <c r="A220" s="1" t="s">
        <v>1448</v>
      </c>
      <c r="B220" s="55" t="s">
        <v>1449</v>
      </c>
      <c r="C220" s="7" t="s">
        <v>1450</v>
      </c>
      <c r="D220" s="1" t="s">
        <v>56</v>
      </c>
      <c r="E220" s="2" t="s">
        <v>1451</v>
      </c>
      <c r="F220" s="4" t="s">
        <v>19</v>
      </c>
      <c r="G220" s="4">
        <v>2016.0</v>
      </c>
      <c r="H220" s="1" t="s">
        <v>1452</v>
      </c>
      <c r="I220" s="2" t="s">
        <v>93</v>
      </c>
      <c r="J220" s="5" t="s">
        <v>1453</v>
      </c>
      <c r="K220" s="61" t="s">
        <v>1453</v>
      </c>
      <c r="L220" s="2" t="s">
        <v>24</v>
      </c>
      <c r="M220" s="1"/>
      <c r="N220" s="1"/>
      <c r="O220" s="7" t="s">
        <v>1454</v>
      </c>
      <c r="P220" s="2"/>
      <c r="Q220" s="2"/>
      <c r="R220" s="2"/>
      <c r="S220" s="2"/>
      <c r="T220" s="2"/>
      <c r="U220" s="2"/>
      <c r="V220" s="2"/>
      <c r="W220" s="2"/>
      <c r="X220" s="2"/>
    </row>
    <row r="221" ht="15.75" customHeight="1">
      <c r="A221" s="1" t="s">
        <v>1455</v>
      </c>
      <c r="B221" s="50" t="s">
        <v>1456</v>
      </c>
      <c r="C221" s="7" t="s">
        <v>1457</v>
      </c>
      <c r="D221" s="1" t="s">
        <v>56</v>
      </c>
      <c r="E221" s="2" t="s">
        <v>1458</v>
      </c>
      <c r="F221" s="4" t="s">
        <v>19</v>
      </c>
      <c r="G221" s="4">
        <v>2016.0</v>
      </c>
      <c r="H221" s="1" t="s">
        <v>1459</v>
      </c>
      <c r="I221" s="2" t="s">
        <v>147</v>
      </c>
      <c r="J221" s="5" t="s">
        <v>1460</v>
      </c>
      <c r="K221" s="62" t="s">
        <v>1460</v>
      </c>
      <c r="L221" s="2" t="s">
        <v>24</v>
      </c>
      <c r="M221" s="1"/>
      <c r="N221" s="1"/>
      <c r="O221" s="7" t="s">
        <v>1461</v>
      </c>
      <c r="P221" s="2"/>
      <c r="Q221" s="2"/>
      <c r="R221" s="2"/>
      <c r="S221" s="2"/>
      <c r="T221" s="2"/>
      <c r="U221" s="2"/>
      <c r="V221" s="2"/>
      <c r="W221" s="2"/>
      <c r="X221" s="2"/>
    </row>
    <row r="222" ht="15.75" customHeight="1">
      <c r="A222" s="1" t="s">
        <v>1462</v>
      </c>
      <c r="B222" s="55" t="s">
        <v>1463</v>
      </c>
      <c r="C222" s="7" t="s">
        <v>1464</v>
      </c>
      <c r="D222" s="1" t="s">
        <v>56</v>
      </c>
      <c r="E222" s="2" t="s">
        <v>1465</v>
      </c>
      <c r="F222" s="4" t="s">
        <v>19</v>
      </c>
      <c r="G222" s="4">
        <v>2016.0</v>
      </c>
      <c r="H222" s="63" t="s">
        <v>1466</v>
      </c>
      <c r="I222" s="2"/>
      <c r="J222" s="5" t="s">
        <v>1467</v>
      </c>
      <c r="K222" s="5" t="s">
        <v>1467</v>
      </c>
      <c r="L222" s="2" t="s">
        <v>52</v>
      </c>
      <c r="M222" s="64" t="s">
        <v>1274</v>
      </c>
      <c r="N222" s="1"/>
      <c r="O222" s="7" t="s">
        <v>1468</v>
      </c>
      <c r="P222" s="2"/>
      <c r="Q222" s="2"/>
      <c r="R222" s="2"/>
      <c r="S222" s="2"/>
      <c r="T222" s="2"/>
      <c r="U222" s="2"/>
      <c r="V222" s="2"/>
      <c r="W222" s="2"/>
      <c r="X222" s="2"/>
    </row>
    <row r="223" ht="15.75" customHeight="1">
      <c r="A223" s="1" t="s">
        <v>1469</v>
      </c>
      <c r="B223" s="57" t="s">
        <v>1470</v>
      </c>
      <c r="C223" s="7" t="s">
        <v>1471</v>
      </c>
      <c r="D223" s="1" t="s">
        <v>247</v>
      </c>
      <c r="E223" s="2" t="s">
        <v>1472</v>
      </c>
      <c r="F223" s="4" t="s">
        <v>1473</v>
      </c>
      <c r="G223" s="4">
        <v>2016.0</v>
      </c>
      <c r="H223" s="65" t="s">
        <v>1474</v>
      </c>
      <c r="I223" s="2"/>
      <c r="J223" s="5" t="s">
        <v>1475</v>
      </c>
      <c r="K223" s="5" t="s">
        <v>1475</v>
      </c>
      <c r="L223" s="2" t="s">
        <v>24</v>
      </c>
      <c r="M223" s="1"/>
      <c r="N223" s="1"/>
      <c r="O223" s="7" t="s">
        <v>1476</v>
      </c>
      <c r="P223" s="2"/>
      <c r="Q223" s="2"/>
      <c r="R223" s="2"/>
      <c r="S223" s="2"/>
      <c r="T223" s="2"/>
      <c r="U223" s="2"/>
      <c r="V223" s="2"/>
      <c r="W223" s="2"/>
      <c r="X223" s="2"/>
    </row>
    <row r="224" ht="15.75" customHeight="1">
      <c r="A224" s="1" t="s">
        <v>1477</v>
      </c>
      <c r="B224" s="50" t="s">
        <v>1478</v>
      </c>
      <c r="C224" s="7" t="str">
        <f>HYPERLINK("https://www.hikarilab.co.jp/","https://www.hikarilab.co.jp/")</f>
        <v>https://www.hikarilab.co.jp/</v>
      </c>
      <c r="D224" s="1" t="s">
        <v>172</v>
      </c>
      <c r="E224" s="2" t="s">
        <v>1479</v>
      </c>
      <c r="F224" s="4" t="s">
        <v>19</v>
      </c>
      <c r="G224" s="4">
        <v>2016.0</v>
      </c>
      <c r="H224" s="65" t="s">
        <v>1480</v>
      </c>
      <c r="I224" s="2"/>
      <c r="J224" s="5" t="s">
        <v>1481</v>
      </c>
      <c r="K224" s="9" t="s">
        <v>1481</v>
      </c>
      <c r="L224" s="2" t="s">
        <v>24</v>
      </c>
      <c r="M224" s="1"/>
      <c r="N224" s="1"/>
      <c r="O224" s="7" t="s">
        <v>1482</v>
      </c>
      <c r="P224" s="2"/>
      <c r="Q224" s="2"/>
      <c r="R224" s="2"/>
      <c r="S224" s="2"/>
      <c r="T224" s="2"/>
      <c r="U224" s="2"/>
      <c r="V224" s="2"/>
      <c r="W224" s="2"/>
      <c r="X224" s="2"/>
    </row>
    <row r="225" ht="15.75" customHeight="1">
      <c r="A225" s="1" t="s">
        <v>1188</v>
      </c>
      <c r="B225" s="2">
        <v>9.010001172688E12</v>
      </c>
      <c r="C225" s="7" t="s">
        <v>1483</v>
      </c>
      <c r="D225" s="1" t="s">
        <v>172</v>
      </c>
      <c r="E225" s="2" t="s">
        <v>1484</v>
      </c>
      <c r="F225" s="4" t="s">
        <v>19</v>
      </c>
      <c r="G225" s="4">
        <v>2016.0</v>
      </c>
      <c r="H225" s="1" t="s">
        <v>1485</v>
      </c>
      <c r="I225" s="2"/>
      <c r="J225" s="5" t="s">
        <v>1193</v>
      </c>
      <c r="K225" s="5" t="s">
        <v>1193</v>
      </c>
      <c r="L225" s="2" t="s">
        <v>24</v>
      </c>
      <c r="M225" s="1"/>
      <c r="N225" s="1"/>
      <c r="O225" s="7" t="s">
        <v>1194</v>
      </c>
      <c r="P225" s="2"/>
      <c r="Q225" s="2"/>
      <c r="R225" s="2"/>
      <c r="S225" s="2"/>
      <c r="T225" s="2"/>
      <c r="U225" s="2"/>
      <c r="V225" s="2"/>
      <c r="W225" s="2"/>
      <c r="X225" s="2"/>
    </row>
    <row r="226" ht="15.75" customHeight="1">
      <c r="A226" s="1" t="s">
        <v>1486</v>
      </c>
      <c r="B226" s="32">
        <v>5.120001198841E12</v>
      </c>
      <c r="C226" s="7" t="str">
        <f>HYPERLINK("https://nextinnovation-inc.co.jp/","https://nextinnovation-inc.co.jp/")</f>
        <v>https://nextinnovation-inc.co.jp/</v>
      </c>
      <c r="D226" s="1" t="s">
        <v>136</v>
      </c>
      <c r="E226" s="2" t="s">
        <v>1487</v>
      </c>
      <c r="F226" s="4" t="s">
        <v>58</v>
      </c>
      <c r="G226" s="4">
        <v>2016.0</v>
      </c>
      <c r="H226" s="1" t="s">
        <v>1488</v>
      </c>
      <c r="I226" s="2"/>
      <c r="J226" s="5" t="s">
        <v>1489</v>
      </c>
      <c r="K226" s="5" t="s">
        <v>1489</v>
      </c>
      <c r="L226" s="2" t="s">
        <v>24</v>
      </c>
      <c r="M226" s="1"/>
      <c r="N226" s="1"/>
      <c r="O226" s="7" t="s">
        <v>1490</v>
      </c>
      <c r="P226" s="2"/>
      <c r="Q226" s="2"/>
      <c r="R226" s="2"/>
      <c r="S226" s="2"/>
      <c r="T226" s="2"/>
      <c r="U226" s="2"/>
      <c r="V226" s="2"/>
      <c r="W226" s="2"/>
      <c r="X226" s="2"/>
    </row>
    <row r="227" ht="15.75" customHeight="1">
      <c r="A227" s="1" t="s">
        <v>1491</v>
      </c>
      <c r="B227" s="32">
        <v>3.180001124224E12</v>
      </c>
      <c r="C227" s="7" t="s">
        <v>1492</v>
      </c>
      <c r="D227" s="13" t="s">
        <v>48</v>
      </c>
      <c r="E227" s="2" t="s">
        <v>1493</v>
      </c>
      <c r="F227" s="4" t="s">
        <v>569</v>
      </c>
      <c r="G227" s="4">
        <v>2016.0</v>
      </c>
      <c r="H227" s="1" t="s">
        <v>1494</v>
      </c>
      <c r="I227" s="2"/>
      <c r="J227" s="5" t="s">
        <v>1495</v>
      </c>
      <c r="K227" s="5" t="s">
        <v>1495</v>
      </c>
      <c r="L227" s="2" t="s">
        <v>24</v>
      </c>
      <c r="M227" s="1"/>
      <c r="N227" s="1"/>
      <c r="O227" s="7" t="s">
        <v>1496</v>
      </c>
      <c r="P227" s="2"/>
      <c r="Q227" s="2"/>
      <c r="R227" s="2"/>
      <c r="S227" s="2"/>
      <c r="T227" s="2"/>
      <c r="U227" s="2"/>
      <c r="V227" s="2"/>
      <c r="W227" s="2"/>
      <c r="X227" s="2"/>
    </row>
    <row r="228" ht="15.75" customHeight="1">
      <c r="A228" s="1" t="s">
        <v>1497</v>
      </c>
      <c r="B228" s="32">
        <v>2.011001111725E12</v>
      </c>
      <c r="C228" s="7" t="str">
        <f>HYPERLINK("https://corp.oishi-kenko.com/","https://corp.oishi-kenko.com/")</f>
        <v>https://corp.oishi-kenko.com/</v>
      </c>
      <c r="D228" s="13" t="s">
        <v>48</v>
      </c>
      <c r="E228" s="2" t="s">
        <v>1498</v>
      </c>
      <c r="F228" s="4" t="s">
        <v>19</v>
      </c>
      <c r="G228" s="4">
        <v>2016.0</v>
      </c>
      <c r="H228" s="1" t="s">
        <v>1499</v>
      </c>
      <c r="I228" s="2" t="s">
        <v>147</v>
      </c>
      <c r="J228" s="5" t="s">
        <v>1500</v>
      </c>
      <c r="K228" s="5" t="s">
        <v>1500</v>
      </c>
      <c r="L228" s="2" t="s">
        <v>24</v>
      </c>
      <c r="M228" s="1"/>
      <c r="N228" s="2" t="s">
        <v>1501</v>
      </c>
      <c r="O228" s="7" t="s">
        <v>1502</v>
      </c>
      <c r="P228" s="2"/>
      <c r="Q228" s="2"/>
      <c r="R228" s="2"/>
      <c r="S228" s="2"/>
      <c r="T228" s="2"/>
      <c r="U228" s="2"/>
      <c r="V228" s="2"/>
      <c r="W228" s="2"/>
      <c r="X228" s="2"/>
    </row>
    <row r="229" ht="15.75" customHeight="1">
      <c r="A229" s="1" t="s">
        <v>1503</v>
      </c>
      <c r="B229" s="32">
        <v>1.013301038376E12</v>
      </c>
      <c r="C229" s="7" t="str">
        <f>HYPERLINK("https://calomeal.com/","https://calomeal.com/")</f>
        <v>https://calomeal.com/</v>
      </c>
      <c r="D229" s="13" t="s">
        <v>48</v>
      </c>
      <c r="E229" s="2" t="s">
        <v>1504</v>
      </c>
      <c r="F229" s="4" t="s">
        <v>19</v>
      </c>
      <c r="G229" s="4">
        <v>2016.0</v>
      </c>
      <c r="H229" s="1" t="s">
        <v>1505</v>
      </c>
      <c r="I229" s="2"/>
      <c r="J229" s="5" t="s">
        <v>1506</v>
      </c>
      <c r="K229" s="5" t="s">
        <v>1506</v>
      </c>
      <c r="L229" s="2" t="s">
        <v>24</v>
      </c>
      <c r="M229" s="1"/>
      <c r="N229" s="1"/>
      <c r="O229" s="7" t="s">
        <v>1507</v>
      </c>
      <c r="P229" s="2"/>
      <c r="Q229" s="2"/>
      <c r="R229" s="2"/>
      <c r="S229" s="2"/>
      <c r="T229" s="2"/>
      <c r="U229" s="2"/>
      <c r="V229" s="2"/>
      <c r="W229" s="2"/>
      <c r="X229" s="2"/>
    </row>
    <row r="230" ht="15.75" customHeight="1">
      <c r="A230" s="1" t="s">
        <v>1508</v>
      </c>
      <c r="B230" s="20">
        <v>2.010001173536E12</v>
      </c>
      <c r="C230" s="12" t="s">
        <v>1509</v>
      </c>
      <c r="D230" s="1" t="s">
        <v>39</v>
      </c>
      <c r="E230" s="2" t="s">
        <v>1510</v>
      </c>
      <c r="F230" s="4" t="s">
        <v>19</v>
      </c>
      <c r="G230" s="4">
        <v>2016.0</v>
      </c>
      <c r="H230" s="1" t="s">
        <v>1511</v>
      </c>
      <c r="I230" s="2" t="s">
        <v>32</v>
      </c>
      <c r="J230" s="5" t="s">
        <v>1512</v>
      </c>
      <c r="K230" s="14" t="s">
        <v>1513</v>
      </c>
      <c r="L230" s="2" t="s">
        <v>24</v>
      </c>
      <c r="M230" s="1"/>
      <c r="N230" s="1"/>
      <c r="O230" s="7" t="s">
        <v>1514</v>
      </c>
      <c r="P230" s="2"/>
      <c r="Q230" s="2"/>
      <c r="R230" s="2"/>
      <c r="S230" s="2"/>
      <c r="T230" s="2"/>
      <c r="U230" s="2"/>
      <c r="V230" s="2"/>
      <c r="W230" s="2"/>
      <c r="X230" s="2"/>
    </row>
    <row r="231" ht="15.75" customHeight="1">
      <c r="A231" s="1" t="s">
        <v>1515</v>
      </c>
      <c r="B231" s="32">
        <v>6.01090103791E12</v>
      </c>
      <c r="C231" s="7" t="str">
        <f>HYPERLINK("https://basefood.co.jp/","https://basefood.co.jp/")</f>
        <v>https://basefood.co.jp/</v>
      </c>
      <c r="D231" s="1" t="s">
        <v>116</v>
      </c>
      <c r="E231" s="2" t="s">
        <v>1516</v>
      </c>
      <c r="F231" s="4" t="s">
        <v>19</v>
      </c>
      <c r="G231" s="4">
        <v>2016.0</v>
      </c>
      <c r="H231" s="1" t="s">
        <v>1517</v>
      </c>
      <c r="I231" s="2"/>
      <c r="J231" s="5" t="s">
        <v>1518</v>
      </c>
      <c r="K231" s="14" t="s">
        <v>1518</v>
      </c>
      <c r="L231" s="2" t="s">
        <v>24</v>
      </c>
      <c r="M231" s="1"/>
      <c r="N231" s="1" t="s">
        <v>1519</v>
      </c>
      <c r="O231" s="7" t="s">
        <v>1520</v>
      </c>
      <c r="P231" s="2"/>
      <c r="Q231" s="2"/>
      <c r="R231" s="2"/>
      <c r="S231" s="2"/>
      <c r="T231" s="2"/>
      <c r="U231" s="2"/>
      <c r="V231" s="2"/>
      <c r="W231" s="2"/>
      <c r="X231" s="2"/>
    </row>
    <row r="232" ht="15.75" customHeight="1">
      <c r="A232" s="1" t="s">
        <v>1521</v>
      </c>
      <c r="B232" s="32">
        <v>8.010401124298E12</v>
      </c>
      <c r="C232" s="7" t="str">
        <f>HYPERLINK("https://medical-reserve.co.jp/","https://medical-reserve.co.jp/")</f>
        <v>https://medical-reserve.co.jp/</v>
      </c>
      <c r="D232" s="1" t="s">
        <v>549</v>
      </c>
      <c r="E232" s="2" t="s">
        <v>1522</v>
      </c>
      <c r="F232" s="4" t="s">
        <v>19</v>
      </c>
      <c r="G232" s="4">
        <v>2016.0</v>
      </c>
      <c r="H232" s="1" t="s">
        <v>1523</v>
      </c>
      <c r="I232" s="2"/>
      <c r="J232" s="5" t="s">
        <v>1524</v>
      </c>
      <c r="K232" s="5" t="s">
        <v>1525</v>
      </c>
      <c r="L232" s="2" t="s">
        <v>52</v>
      </c>
      <c r="M232" s="1"/>
      <c r="N232" s="1" t="s">
        <v>1526</v>
      </c>
      <c r="O232" s="7" t="s">
        <v>1527</v>
      </c>
      <c r="P232" s="2"/>
      <c r="Q232" s="2"/>
      <c r="R232" s="2"/>
      <c r="S232" s="2"/>
      <c r="T232" s="2"/>
      <c r="U232" s="2"/>
      <c r="V232" s="2"/>
      <c r="W232" s="2"/>
      <c r="X232" s="2"/>
    </row>
    <row r="233" ht="15.75" customHeight="1">
      <c r="A233" s="1" t="s">
        <v>1528</v>
      </c>
      <c r="B233" s="32">
        <v>2.010401128239E12</v>
      </c>
      <c r="C233" s="7" t="str">
        <f>HYPERLINK("http://capimedi.com/cmv/","http://capimedi.com/cmv/")</f>
        <v>http://capimedi.com/cmv/</v>
      </c>
      <c r="D233" s="1" t="s">
        <v>56</v>
      </c>
      <c r="E233" s="2" t="s">
        <v>1529</v>
      </c>
      <c r="F233" s="4" t="s">
        <v>19</v>
      </c>
      <c r="G233" s="4">
        <v>2016.0</v>
      </c>
      <c r="H233" s="1" t="s">
        <v>1530</v>
      </c>
      <c r="I233" s="2"/>
      <c r="J233" s="5" t="s">
        <v>1531</v>
      </c>
      <c r="K233" s="5" t="s">
        <v>1531</v>
      </c>
      <c r="L233" s="2" t="s">
        <v>24</v>
      </c>
      <c r="M233" s="1" t="s">
        <v>1532</v>
      </c>
      <c r="N233" s="1"/>
      <c r="O233" s="7" t="s">
        <v>1533</v>
      </c>
      <c r="P233" s="2"/>
      <c r="Q233" s="2"/>
      <c r="R233" s="2"/>
      <c r="S233" s="2"/>
      <c r="T233" s="2"/>
      <c r="U233" s="2"/>
      <c r="V233" s="2"/>
      <c r="W233" s="2"/>
      <c r="X233" s="2"/>
    </row>
    <row r="234" ht="15.75" customHeight="1">
      <c r="A234" s="1" t="s">
        <v>1534</v>
      </c>
      <c r="B234" s="32">
        <v>8.011001114846E12</v>
      </c>
      <c r="C234" s="7" t="str">
        <f>HYPERLINK("http://splendid.co.jp/","http://splendid.co.jp/")</f>
        <v>http://splendid.co.jp/</v>
      </c>
      <c r="D234" s="1" t="s">
        <v>56</v>
      </c>
      <c r="E234" s="2" t="s">
        <v>1535</v>
      </c>
      <c r="F234" s="4" t="s">
        <v>19</v>
      </c>
      <c r="G234" s="4">
        <v>2016.0</v>
      </c>
      <c r="H234" s="1" t="s">
        <v>1536</v>
      </c>
      <c r="I234" s="2" t="s">
        <v>147</v>
      </c>
      <c r="J234" s="5" t="s">
        <v>1537</v>
      </c>
      <c r="K234" s="5" t="s">
        <v>1537</v>
      </c>
      <c r="L234" s="2" t="s">
        <v>52</v>
      </c>
      <c r="M234" s="1" t="s">
        <v>1538</v>
      </c>
      <c r="N234" s="1"/>
      <c r="O234" s="7" t="s">
        <v>1539</v>
      </c>
      <c r="P234" s="2"/>
      <c r="Q234" s="2"/>
      <c r="R234" s="2"/>
      <c r="S234" s="2"/>
      <c r="T234" s="2"/>
      <c r="U234" s="2"/>
      <c r="V234" s="2"/>
      <c r="W234" s="2"/>
      <c r="X234" s="2"/>
    </row>
    <row r="235" ht="15.75" customHeight="1">
      <c r="A235" s="1" t="s">
        <v>1540</v>
      </c>
      <c r="B235" s="66">
        <v>4.010001174895E12</v>
      </c>
      <c r="C235" s="7" t="str">
        <f>HYPERLINK("https://4ulifecare.com/","https://4ulifecare.com/")</f>
        <v>https://4ulifecare.com/</v>
      </c>
      <c r="D235" s="1" t="s">
        <v>187</v>
      </c>
      <c r="E235" s="2" t="s">
        <v>1541</v>
      </c>
      <c r="F235" s="4" t="s">
        <v>19</v>
      </c>
      <c r="G235" s="4">
        <v>2016.0</v>
      </c>
      <c r="H235" s="1" t="s">
        <v>1542</v>
      </c>
      <c r="I235" s="2"/>
      <c r="J235" s="5" t="s">
        <v>1543</v>
      </c>
      <c r="K235" s="5" t="s">
        <v>1543</v>
      </c>
      <c r="L235" s="2" t="s">
        <v>24</v>
      </c>
      <c r="M235" s="1"/>
      <c r="N235" s="1"/>
      <c r="O235" s="7" t="s">
        <v>1544</v>
      </c>
      <c r="P235" s="2"/>
      <c r="Q235" s="2"/>
      <c r="R235" s="2"/>
      <c r="S235" s="2"/>
      <c r="T235" s="2"/>
      <c r="U235" s="2"/>
      <c r="V235" s="2"/>
      <c r="W235" s="2"/>
      <c r="X235" s="2"/>
    </row>
    <row r="236" ht="15.75" customHeight="1">
      <c r="A236" s="1" t="s">
        <v>1545</v>
      </c>
      <c r="B236" s="66">
        <v>8.010001172763E12</v>
      </c>
      <c r="C236" s="7" t="str">
        <f>HYPERLINK("http://www.indee-medical.com/","http://www.indee-medical.com/")</f>
        <v>http://www.indee-medical.com/</v>
      </c>
      <c r="D236" s="1" t="s">
        <v>39</v>
      </c>
      <c r="E236" s="2" t="s">
        <v>1546</v>
      </c>
      <c r="F236" s="4" t="s">
        <v>19</v>
      </c>
      <c r="G236" s="4">
        <v>2016.0</v>
      </c>
      <c r="H236" s="1" t="s">
        <v>1547</v>
      </c>
      <c r="I236" s="2"/>
      <c r="J236" s="5" t="s">
        <v>1548</v>
      </c>
      <c r="K236" s="14" t="s">
        <v>1548</v>
      </c>
      <c r="L236" s="2" t="s">
        <v>52</v>
      </c>
      <c r="M236" s="1" t="s">
        <v>1549</v>
      </c>
      <c r="N236" s="1"/>
      <c r="O236" s="7" t="s">
        <v>1550</v>
      </c>
      <c r="P236" s="2"/>
      <c r="Q236" s="2"/>
      <c r="R236" s="2"/>
      <c r="S236" s="2"/>
      <c r="T236" s="2"/>
      <c r="U236" s="2"/>
      <c r="V236" s="2"/>
      <c r="W236" s="2"/>
      <c r="X236" s="2"/>
    </row>
    <row r="237" ht="15.75" customHeight="1">
      <c r="A237" s="1" t="s">
        <v>1551</v>
      </c>
      <c r="B237" s="66">
        <v>9.010601050442E12</v>
      </c>
      <c r="C237" s="7" t="str">
        <f>HYPERLINK("http://www.hcm.co.jp/","http://www.hcm.co.jp/")</f>
        <v>http://www.hcm.co.jp/</v>
      </c>
      <c r="D237" s="1" t="s">
        <v>17</v>
      </c>
      <c r="E237" s="2" t="s">
        <v>1552</v>
      </c>
      <c r="F237" s="4" t="s">
        <v>19</v>
      </c>
      <c r="G237" s="4">
        <v>2016.0</v>
      </c>
      <c r="H237" s="1" t="s">
        <v>1553</v>
      </c>
      <c r="I237" s="2"/>
      <c r="J237" s="5" t="s">
        <v>1554</v>
      </c>
      <c r="K237" s="5" t="s">
        <v>1554</v>
      </c>
      <c r="L237" s="2" t="s">
        <v>24</v>
      </c>
      <c r="M237" s="1"/>
      <c r="N237" s="1"/>
      <c r="O237" s="7" t="s">
        <v>1555</v>
      </c>
      <c r="P237" s="2"/>
      <c r="Q237" s="2"/>
      <c r="R237" s="2"/>
      <c r="S237" s="2"/>
      <c r="T237" s="2"/>
      <c r="U237" s="2"/>
      <c r="V237" s="2"/>
      <c r="W237" s="2"/>
      <c r="X237" s="2"/>
    </row>
    <row r="238" ht="15.75" customHeight="1">
      <c r="A238" s="1" t="s">
        <v>1556</v>
      </c>
      <c r="B238" s="66">
        <v>6.120001198816E12</v>
      </c>
      <c r="C238" s="7" t="s">
        <v>1557</v>
      </c>
      <c r="D238" s="1" t="s">
        <v>116</v>
      </c>
      <c r="E238" s="2" t="s">
        <v>1558</v>
      </c>
      <c r="F238" s="4" t="s">
        <v>58</v>
      </c>
      <c r="G238" s="4">
        <v>2016.0</v>
      </c>
      <c r="H238" s="1" t="s">
        <v>1559</v>
      </c>
      <c r="I238" s="2" t="s">
        <v>21</v>
      </c>
      <c r="J238" s="5" t="s">
        <v>1560</v>
      </c>
      <c r="K238" s="5" t="s">
        <v>1560</v>
      </c>
      <c r="L238" s="2" t="s">
        <v>24</v>
      </c>
      <c r="M238" s="1"/>
      <c r="N238" s="1"/>
      <c r="O238" s="67" t="s">
        <v>1561</v>
      </c>
      <c r="P238" s="2"/>
      <c r="Q238" s="2"/>
      <c r="R238" s="2"/>
      <c r="S238" s="2"/>
      <c r="T238" s="2"/>
      <c r="U238" s="2"/>
      <c r="V238" s="2"/>
      <c r="W238" s="2"/>
      <c r="X238" s="2"/>
    </row>
    <row r="239" ht="15.75" customHeight="1">
      <c r="A239" s="1" t="s">
        <v>1562</v>
      </c>
      <c r="B239" s="66">
        <v>7.011001113849E12</v>
      </c>
      <c r="C239" s="7" t="s">
        <v>1563</v>
      </c>
      <c r="D239" s="1" t="s">
        <v>152</v>
      </c>
      <c r="E239" s="2" t="s">
        <v>1564</v>
      </c>
      <c r="F239" s="4" t="s">
        <v>19</v>
      </c>
      <c r="G239" s="4">
        <v>2016.0</v>
      </c>
      <c r="H239" s="1" t="s">
        <v>1565</v>
      </c>
      <c r="I239" s="2"/>
      <c r="J239" s="5" t="s">
        <v>1566</v>
      </c>
      <c r="K239" s="5" t="s">
        <v>1566</v>
      </c>
      <c r="L239" s="2" t="s">
        <v>24</v>
      </c>
      <c r="M239" s="1"/>
      <c r="N239" s="1"/>
      <c r="O239" s="7" t="s">
        <v>1567</v>
      </c>
      <c r="P239" s="2"/>
      <c r="Q239" s="2"/>
      <c r="R239" s="2"/>
      <c r="S239" s="2"/>
      <c r="T239" s="2"/>
      <c r="U239" s="2"/>
      <c r="V239" s="2"/>
      <c r="W239" s="2"/>
      <c r="X239" s="2"/>
    </row>
    <row r="240" ht="15.75" customHeight="1">
      <c r="A240" s="1" t="s">
        <v>1568</v>
      </c>
      <c r="B240" s="66">
        <v>7.010401127095E12</v>
      </c>
      <c r="C240" s="7" t="s">
        <v>1569</v>
      </c>
      <c r="D240" s="1" t="s">
        <v>116</v>
      </c>
      <c r="E240" s="2" t="s">
        <v>1570</v>
      </c>
      <c r="F240" s="4" t="s">
        <v>19</v>
      </c>
      <c r="G240" s="4">
        <v>2016.0</v>
      </c>
      <c r="H240" s="1" t="s">
        <v>1571</v>
      </c>
      <c r="I240" s="2" t="s">
        <v>147</v>
      </c>
      <c r="J240" s="5" t="s">
        <v>1572</v>
      </c>
      <c r="K240" s="5" t="s">
        <v>1572</v>
      </c>
      <c r="L240" s="2" t="s">
        <v>24</v>
      </c>
      <c r="M240" s="1"/>
      <c r="N240" s="1"/>
      <c r="O240" s="7" t="s">
        <v>1573</v>
      </c>
      <c r="P240" s="2"/>
      <c r="Q240" s="2"/>
      <c r="R240" s="2"/>
      <c r="S240" s="2"/>
      <c r="T240" s="2"/>
      <c r="U240" s="2"/>
      <c r="V240" s="2"/>
      <c r="W240" s="2"/>
      <c r="X240" s="2"/>
    </row>
    <row r="241" ht="15.75" customHeight="1">
      <c r="A241" s="1" t="s">
        <v>1574</v>
      </c>
      <c r="B241" s="66">
        <v>2.011101077222E12</v>
      </c>
      <c r="C241" s="7" t="s">
        <v>1575</v>
      </c>
      <c r="D241" s="1" t="s">
        <v>82</v>
      </c>
      <c r="E241" s="2" t="s">
        <v>1576</v>
      </c>
      <c r="F241" s="4" t="s">
        <v>19</v>
      </c>
      <c r="G241" s="4">
        <v>2016.0</v>
      </c>
      <c r="H241" s="1" t="s">
        <v>1577</v>
      </c>
      <c r="I241" s="2"/>
      <c r="J241" s="5" t="s">
        <v>1578</v>
      </c>
      <c r="K241" s="14" t="s">
        <v>1579</v>
      </c>
      <c r="L241" s="2" t="s">
        <v>24</v>
      </c>
      <c r="M241" s="1"/>
      <c r="N241" s="1"/>
      <c r="O241" s="7" t="s">
        <v>1580</v>
      </c>
      <c r="P241" s="2"/>
      <c r="Q241" s="2"/>
      <c r="R241" s="2"/>
      <c r="S241" s="2"/>
      <c r="T241" s="2"/>
      <c r="U241" s="2"/>
      <c r="V241" s="2"/>
      <c r="W241" s="2"/>
      <c r="X241" s="2"/>
    </row>
    <row r="242" ht="15.75" customHeight="1">
      <c r="A242" s="1" t="s">
        <v>1581</v>
      </c>
      <c r="B242" s="66">
        <v>7.010901037496E12</v>
      </c>
      <c r="C242" s="7" t="s">
        <v>1582</v>
      </c>
      <c r="D242" s="1" t="s">
        <v>116</v>
      </c>
      <c r="E242" s="2" t="s">
        <v>1583</v>
      </c>
      <c r="F242" s="4" t="s">
        <v>19</v>
      </c>
      <c r="G242" s="4">
        <v>2016.0</v>
      </c>
      <c r="H242" s="1" t="s">
        <v>1584</v>
      </c>
      <c r="I242" s="2"/>
      <c r="J242" s="5" t="s">
        <v>1585</v>
      </c>
      <c r="K242" s="5" t="s">
        <v>1585</v>
      </c>
      <c r="L242" s="2" t="s">
        <v>24</v>
      </c>
      <c r="M242" s="1"/>
      <c r="N242" s="1"/>
      <c r="O242" s="7" t="s">
        <v>1586</v>
      </c>
      <c r="P242" s="2"/>
      <c r="Q242" s="2"/>
      <c r="R242" s="2"/>
      <c r="S242" s="2"/>
      <c r="T242" s="2"/>
      <c r="U242" s="2"/>
      <c r="V242" s="2"/>
      <c r="W242" s="2"/>
      <c r="X242" s="2"/>
    </row>
    <row r="243" ht="15.75" customHeight="1">
      <c r="A243" s="1" t="s">
        <v>1587</v>
      </c>
      <c r="B243" s="66">
        <v>7.010401132946E12</v>
      </c>
      <c r="C243" s="7" t="s">
        <v>1588</v>
      </c>
      <c r="D243" s="13" t="s">
        <v>74</v>
      </c>
      <c r="E243" s="2" t="s">
        <v>1589</v>
      </c>
      <c r="F243" s="4" t="s">
        <v>19</v>
      </c>
      <c r="G243" s="4">
        <v>2017.0</v>
      </c>
      <c r="H243" s="1" t="s">
        <v>1590</v>
      </c>
      <c r="I243" s="2" t="s">
        <v>147</v>
      </c>
      <c r="J243" s="5" t="s">
        <v>1591</v>
      </c>
      <c r="K243" s="5" t="s">
        <v>1591</v>
      </c>
      <c r="L243" s="2" t="s">
        <v>24</v>
      </c>
      <c r="M243" s="1"/>
      <c r="N243" s="1"/>
      <c r="O243" s="7" t="s">
        <v>1592</v>
      </c>
      <c r="P243" s="2"/>
      <c r="Q243" s="2"/>
      <c r="R243" s="2"/>
      <c r="S243" s="2"/>
      <c r="T243" s="2"/>
      <c r="U243" s="2"/>
      <c r="V243" s="2"/>
      <c r="W243" s="2"/>
      <c r="X243" s="2"/>
    </row>
    <row r="244" ht="15.75" customHeight="1">
      <c r="A244" s="1" t="s">
        <v>1593</v>
      </c>
      <c r="B244" s="66">
        <v>5.010401135298E12</v>
      </c>
      <c r="C244" s="7" t="s">
        <v>1594</v>
      </c>
      <c r="D244" s="13" t="s">
        <v>74</v>
      </c>
      <c r="E244" s="2" t="s">
        <v>1595</v>
      </c>
      <c r="F244" s="4" t="s">
        <v>19</v>
      </c>
      <c r="G244" s="4">
        <v>2017.0</v>
      </c>
      <c r="H244" s="1" t="s">
        <v>1361</v>
      </c>
      <c r="I244" s="2"/>
      <c r="J244" s="5" t="s">
        <v>1596</v>
      </c>
      <c r="K244" s="5" t="s">
        <v>1596</v>
      </c>
      <c r="L244" s="2" t="s">
        <v>24</v>
      </c>
      <c r="M244" s="1"/>
      <c r="N244" s="1"/>
      <c r="O244" s="7" t="s">
        <v>1597</v>
      </c>
      <c r="P244" s="2"/>
      <c r="Q244" s="2"/>
      <c r="R244" s="2"/>
      <c r="S244" s="2"/>
      <c r="T244" s="2"/>
      <c r="U244" s="2"/>
      <c r="V244" s="2"/>
      <c r="W244" s="2"/>
      <c r="X244" s="2"/>
    </row>
    <row r="245" ht="15.75" customHeight="1">
      <c r="A245" s="1" t="s">
        <v>1598</v>
      </c>
      <c r="B245" s="34" t="s">
        <v>1599</v>
      </c>
      <c r="C245" s="7" t="str">
        <f>HYPERLINK("http://www.literrasmedica.com/","http://www.literrasmedica.com/")</f>
        <v>http://www.literrasmedica.com/</v>
      </c>
      <c r="D245" s="1" t="s">
        <v>82</v>
      </c>
      <c r="E245" s="2" t="s">
        <v>1600</v>
      </c>
      <c r="F245" s="4" t="s">
        <v>19</v>
      </c>
      <c r="G245" s="4">
        <v>2017.0</v>
      </c>
      <c r="H245" s="1" t="s">
        <v>1601</v>
      </c>
      <c r="I245" s="2"/>
      <c r="J245" s="5" t="s">
        <v>1602</v>
      </c>
      <c r="K245" s="14" t="s">
        <v>1602</v>
      </c>
      <c r="L245" s="2" t="s">
        <v>24</v>
      </c>
      <c r="M245" s="1"/>
      <c r="N245" s="1"/>
      <c r="O245" s="7" t="s">
        <v>1603</v>
      </c>
      <c r="P245" s="2"/>
      <c r="Q245" s="2"/>
      <c r="R245" s="2"/>
      <c r="S245" s="2"/>
      <c r="T245" s="2"/>
      <c r="U245" s="2"/>
      <c r="V245" s="2"/>
      <c r="W245" s="2"/>
      <c r="X245" s="2"/>
    </row>
    <row r="246" ht="15.75" customHeight="1">
      <c r="A246" s="1" t="s">
        <v>1604</v>
      </c>
      <c r="B246" s="40" t="s">
        <v>1605</v>
      </c>
      <c r="C246" s="7" t="s">
        <v>1606</v>
      </c>
      <c r="D246" s="1" t="s">
        <v>187</v>
      </c>
      <c r="E246" s="2" t="s">
        <v>1607</v>
      </c>
      <c r="F246" s="4" t="s">
        <v>19</v>
      </c>
      <c r="G246" s="4">
        <v>2017.0</v>
      </c>
      <c r="H246" s="1" t="s">
        <v>1608</v>
      </c>
      <c r="I246" s="2" t="s">
        <v>147</v>
      </c>
      <c r="J246" s="5" t="s">
        <v>1609</v>
      </c>
      <c r="K246" s="9" t="s">
        <v>1609</v>
      </c>
      <c r="L246" s="2" t="s">
        <v>24</v>
      </c>
      <c r="M246" s="1"/>
      <c r="N246" s="1"/>
      <c r="O246" s="7" t="s">
        <v>1610</v>
      </c>
      <c r="P246" s="2"/>
      <c r="Q246" s="2"/>
      <c r="R246" s="2"/>
      <c r="S246" s="2"/>
      <c r="T246" s="2"/>
      <c r="U246" s="2"/>
      <c r="V246" s="2"/>
      <c r="W246" s="2"/>
      <c r="X246" s="2"/>
    </row>
    <row r="247" ht="15.75" customHeight="1">
      <c r="A247" s="1" t="s">
        <v>1611</v>
      </c>
      <c r="B247" s="42" t="s">
        <v>1612</v>
      </c>
      <c r="C247" s="12" t="s">
        <v>1613</v>
      </c>
      <c r="D247" s="11" t="s">
        <v>17</v>
      </c>
      <c r="E247" s="2" t="s">
        <v>1614</v>
      </c>
      <c r="F247" s="4" t="s">
        <v>380</v>
      </c>
      <c r="G247" s="4">
        <v>2017.0</v>
      </c>
      <c r="H247" s="1" t="s">
        <v>1615</v>
      </c>
      <c r="I247" s="2" t="s">
        <v>147</v>
      </c>
      <c r="J247" s="5" t="s">
        <v>1616</v>
      </c>
      <c r="K247" s="5" t="s">
        <v>1616</v>
      </c>
      <c r="L247" s="2" t="s">
        <v>24</v>
      </c>
      <c r="M247" s="1" t="s">
        <v>1617</v>
      </c>
      <c r="N247" s="1"/>
      <c r="O247" s="7" t="s">
        <v>1618</v>
      </c>
      <c r="P247" s="2"/>
      <c r="Q247" s="2"/>
      <c r="R247" s="2"/>
      <c r="S247" s="2"/>
      <c r="T247" s="2"/>
      <c r="U247" s="2"/>
      <c r="V247" s="2"/>
      <c r="W247" s="2"/>
      <c r="X247" s="2"/>
    </row>
    <row r="248" ht="15.75" customHeight="1">
      <c r="A248" s="1" t="s">
        <v>1619</v>
      </c>
      <c r="B248" s="38" t="s">
        <v>1620</v>
      </c>
      <c r="C248" s="7" t="s">
        <v>1621</v>
      </c>
      <c r="D248" s="1" t="s">
        <v>152</v>
      </c>
      <c r="E248" s="2"/>
      <c r="F248" s="4" t="s">
        <v>19</v>
      </c>
      <c r="G248" s="4">
        <v>2017.0</v>
      </c>
      <c r="H248" s="1" t="s">
        <v>1622</v>
      </c>
      <c r="I248" s="2"/>
      <c r="J248" s="5" t="s">
        <v>1623</v>
      </c>
      <c r="K248" s="9" t="s">
        <v>1623</v>
      </c>
      <c r="L248" s="2" t="s">
        <v>24</v>
      </c>
      <c r="M248" s="1"/>
      <c r="N248" s="1"/>
      <c r="O248" s="7" t="s">
        <v>1624</v>
      </c>
      <c r="P248" s="2"/>
      <c r="Q248" s="2"/>
      <c r="R248" s="2"/>
      <c r="S248" s="2"/>
      <c r="T248" s="2"/>
      <c r="U248" s="2"/>
      <c r="V248" s="2"/>
      <c r="W248" s="2"/>
      <c r="X248" s="2"/>
    </row>
    <row r="249" ht="15.75" customHeight="1">
      <c r="A249" s="1" t="s">
        <v>1625</v>
      </c>
      <c r="B249" s="38" t="s">
        <v>1626</v>
      </c>
      <c r="C249" s="7" t="s">
        <v>1627</v>
      </c>
      <c r="D249" s="1" t="s">
        <v>239</v>
      </c>
      <c r="E249" s="2" t="s">
        <v>1628</v>
      </c>
      <c r="F249" s="4" t="s">
        <v>19</v>
      </c>
      <c r="G249" s="4">
        <v>2017.0</v>
      </c>
      <c r="H249" s="1" t="s">
        <v>1629</v>
      </c>
      <c r="I249" s="2"/>
      <c r="J249" s="5" t="s">
        <v>1630</v>
      </c>
      <c r="K249" s="9" t="s">
        <v>1631</v>
      </c>
      <c r="L249" s="2" t="s">
        <v>24</v>
      </c>
      <c r="M249" s="1"/>
      <c r="N249" s="1"/>
      <c r="O249" s="7" t="s">
        <v>1632</v>
      </c>
      <c r="P249" s="2"/>
      <c r="Q249" s="2"/>
      <c r="R249" s="2"/>
      <c r="S249" s="2"/>
      <c r="T249" s="2"/>
      <c r="U249" s="2"/>
      <c r="V249" s="2"/>
      <c r="W249" s="2"/>
      <c r="X249" s="2"/>
    </row>
    <row r="250" ht="15.75" customHeight="1">
      <c r="A250" s="1" t="s">
        <v>1633</v>
      </c>
      <c r="B250" s="42" t="s">
        <v>1634</v>
      </c>
      <c r="C250" s="12" t="s">
        <v>1635</v>
      </c>
      <c r="D250" s="1" t="s">
        <v>239</v>
      </c>
      <c r="E250" s="2" t="s">
        <v>1636</v>
      </c>
      <c r="F250" s="4" t="s">
        <v>1637</v>
      </c>
      <c r="G250" s="4">
        <v>2017.0</v>
      </c>
      <c r="H250" s="1" t="s">
        <v>1638</v>
      </c>
      <c r="I250" s="2"/>
      <c r="J250" s="5" t="s">
        <v>1639</v>
      </c>
      <c r="K250" s="14" t="s">
        <v>1640</v>
      </c>
      <c r="L250" s="2" t="s">
        <v>24</v>
      </c>
      <c r="M250" s="1"/>
      <c r="N250" s="1"/>
      <c r="O250" s="7" t="s">
        <v>1641</v>
      </c>
      <c r="P250" s="2"/>
      <c r="Q250" s="2"/>
      <c r="R250" s="2"/>
      <c r="S250" s="2"/>
      <c r="T250" s="2"/>
      <c r="U250" s="2"/>
      <c r="V250" s="2"/>
      <c r="W250" s="2"/>
      <c r="X250" s="2"/>
    </row>
    <row r="251" ht="15.75" customHeight="1">
      <c r="A251" s="1" t="s">
        <v>1642</v>
      </c>
      <c r="B251" s="40" t="s">
        <v>1643</v>
      </c>
      <c r="C251" s="7" t="s">
        <v>1644</v>
      </c>
      <c r="D251" s="1" t="s">
        <v>239</v>
      </c>
      <c r="E251" s="2" t="s">
        <v>1645</v>
      </c>
      <c r="F251" s="4" t="s">
        <v>19</v>
      </c>
      <c r="G251" s="4">
        <v>2017.0</v>
      </c>
      <c r="H251" s="1" t="s">
        <v>1646</v>
      </c>
      <c r="I251" s="2"/>
      <c r="J251" s="5" t="s">
        <v>1647</v>
      </c>
      <c r="K251" s="9" t="s">
        <v>1647</v>
      </c>
      <c r="L251" s="2" t="s">
        <v>24</v>
      </c>
      <c r="M251" s="1"/>
      <c r="N251" s="1"/>
      <c r="O251" s="7" t="s">
        <v>1648</v>
      </c>
      <c r="P251" s="2"/>
      <c r="Q251" s="2"/>
      <c r="R251" s="2"/>
      <c r="S251" s="2"/>
      <c r="T251" s="2"/>
      <c r="U251" s="2"/>
      <c r="V251" s="2"/>
      <c r="W251" s="2"/>
      <c r="X251" s="2"/>
    </row>
    <row r="252" ht="15.75" customHeight="1">
      <c r="A252" s="1" t="s">
        <v>1649</v>
      </c>
      <c r="B252" s="40" t="s">
        <v>1650</v>
      </c>
      <c r="C252" s="7" t="s">
        <v>1651</v>
      </c>
      <c r="D252" s="1" t="s">
        <v>239</v>
      </c>
      <c r="E252" s="2" t="s">
        <v>1652</v>
      </c>
      <c r="F252" s="4" t="s">
        <v>1653</v>
      </c>
      <c r="G252" s="4">
        <v>2017.0</v>
      </c>
      <c r="H252" s="1" t="s">
        <v>1654</v>
      </c>
      <c r="I252" s="2" t="s">
        <v>147</v>
      </c>
      <c r="J252" s="5" t="s">
        <v>1655</v>
      </c>
      <c r="K252" s="9" t="s">
        <v>1655</v>
      </c>
      <c r="L252" s="2" t="s">
        <v>24</v>
      </c>
      <c r="M252" s="1"/>
      <c r="N252" s="1"/>
      <c r="O252" s="7" t="s">
        <v>1656</v>
      </c>
      <c r="P252" s="2"/>
      <c r="Q252" s="2"/>
      <c r="R252" s="2"/>
      <c r="S252" s="2"/>
      <c r="T252" s="2"/>
      <c r="U252" s="2"/>
      <c r="V252" s="2"/>
      <c r="W252" s="2"/>
      <c r="X252" s="2"/>
    </row>
    <row r="253" ht="15.75" customHeight="1">
      <c r="A253" s="1" t="s">
        <v>1657</v>
      </c>
      <c r="B253" s="40" t="s">
        <v>1658</v>
      </c>
      <c r="C253" s="7" t="s">
        <v>1659</v>
      </c>
      <c r="D253" s="1" t="s">
        <v>39</v>
      </c>
      <c r="E253" s="2" t="s">
        <v>1660</v>
      </c>
      <c r="F253" s="4" t="s">
        <v>19</v>
      </c>
      <c r="G253" s="4">
        <v>2017.0</v>
      </c>
      <c r="H253" s="1" t="s">
        <v>1661</v>
      </c>
      <c r="I253" s="2" t="s">
        <v>70</v>
      </c>
      <c r="J253" s="5" t="s">
        <v>1662</v>
      </c>
      <c r="K253" s="9" t="s">
        <v>1663</v>
      </c>
      <c r="L253" s="2" t="s">
        <v>24</v>
      </c>
      <c r="M253" s="1"/>
      <c r="N253" s="1"/>
      <c r="O253" s="7" t="s">
        <v>1664</v>
      </c>
      <c r="P253" s="2"/>
      <c r="Q253" s="2"/>
      <c r="R253" s="2"/>
      <c r="S253" s="2"/>
      <c r="T253" s="2"/>
      <c r="U253" s="2"/>
      <c r="V253" s="2"/>
      <c r="W253" s="2"/>
      <c r="X253" s="2"/>
    </row>
    <row r="254" ht="15.75" customHeight="1">
      <c r="A254" s="1" t="s">
        <v>1665</v>
      </c>
      <c r="B254" s="38" t="s">
        <v>1666</v>
      </c>
      <c r="C254" s="7" t="str">
        <f>HYPERLINK("http://www.company.dr-ubie.com/","http://www.company.dr-ubie.com/")</f>
        <v>http://www.company.dr-ubie.com/</v>
      </c>
      <c r="D254" s="1" t="s">
        <v>56</v>
      </c>
      <c r="E254" s="2" t="s">
        <v>1667</v>
      </c>
      <c r="F254" s="4" t="s">
        <v>19</v>
      </c>
      <c r="G254" s="4">
        <v>2017.0</v>
      </c>
      <c r="H254" s="1" t="s">
        <v>1668</v>
      </c>
      <c r="I254" s="2" t="s">
        <v>21</v>
      </c>
      <c r="J254" s="5" t="s">
        <v>1669</v>
      </c>
      <c r="K254" s="14" t="s">
        <v>1670</v>
      </c>
      <c r="L254" s="2" t="s">
        <v>24</v>
      </c>
      <c r="M254" s="1"/>
      <c r="N254" s="1"/>
      <c r="O254" s="7" t="s">
        <v>1671</v>
      </c>
      <c r="P254" s="2"/>
      <c r="Q254" s="2"/>
      <c r="R254" s="2"/>
      <c r="S254" s="2"/>
      <c r="T254" s="2"/>
      <c r="U254" s="2"/>
      <c r="V254" s="2"/>
      <c r="W254" s="2"/>
      <c r="X254" s="2"/>
    </row>
    <row r="255" ht="15.75" customHeight="1">
      <c r="A255" s="1" t="s">
        <v>1672</v>
      </c>
      <c r="B255" s="38" t="s">
        <v>1673</v>
      </c>
      <c r="C255" s="7" t="str">
        <f>HYPERLINK("http://www.medup.jp/","http://www.medup.jp/")</f>
        <v>http://www.medup.jp/</v>
      </c>
      <c r="D255" s="1" t="s">
        <v>56</v>
      </c>
      <c r="E255" s="2" t="s">
        <v>1674</v>
      </c>
      <c r="F255" s="4" t="s">
        <v>19</v>
      </c>
      <c r="G255" s="4">
        <v>2017.0</v>
      </c>
      <c r="H255" s="1" t="s">
        <v>1675</v>
      </c>
      <c r="I255" s="2"/>
      <c r="J255" s="5" t="s">
        <v>1676</v>
      </c>
      <c r="K255" s="9" t="s">
        <v>1676</v>
      </c>
      <c r="L255" s="2" t="s">
        <v>24</v>
      </c>
      <c r="M255" s="1"/>
      <c r="N255" s="1"/>
      <c r="O255" s="7" t="s">
        <v>1677</v>
      </c>
      <c r="P255" s="2"/>
      <c r="Q255" s="2"/>
      <c r="R255" s="2"/>
      <c r="S255" s="2"/>
      <c r="T255" s="2"/>
      <c r="U255" s="2"/>
      <c r="V255" s="2"/>
      <c r="W255" s="2"/>
      <c r="X255" s="2"/>
    </row>
    <row r="256" ht="15.75" customHeight="1">
      <c r="A256" s="24" t="s">
        <v>1678</v>
      </c>
      <c r="B256" s="40" t="s">
        <v>1679</v>
      </c>
      <c r="C256" s="7" t="s">
        <v>1680</v>
      </c>
      <c r="D256" s="1" t="s">
        <v>56</v>
      </c>
      <c r="E256" s="2" t="s">
        <v>1681</v>
      </c>
      <c r="F256" s="4" t="s">
        <v>569</v>
      </c>
      <c r="G256" s="4">
        <v>2017.0</v>
      </c>
      <c r="H256" s="1" t="s">
        <v>1682</v>
      </c>
      <c r="I256" s="2"/>
      <c r="J256" s="5" t="s">
        <v>1683</v>
      </c>
      <c r="K256" s="9" t="s">
        <v>1683</v>
      </c>
      <c r="L256" s="2" t="s">
        <v>24</v>
      </c>
      <c r="M256" s="1"/>
      <c r="N256" s="1"/>
      <c r="O256" s="7" t="s">
        <v>1684</v>
      </c>
      <c r="P256" s="2"/>
      <c r="Q256" s="2"/>
      <c r="R256" s="2"/>
      <c r="S256" s="2"/>
      <c r="T256" s="2"/>
      <c r="U256" s="2"/>
      <c r="V256" s="2"/>
      <c r="W256" s="2"/>
      <c r="X256" s="2"/>
    </row>
    <row r="257" ht="15.75" customHeight="1">
      <c r="A257" s="1" t="s">
        <v>1685</v>
      </c>
      <c r="B257" s="38" t="s">
        <v>1686</v>
      </c>
      <c r="C257" s="7" t="s">
        <v>1687</v>
      </c>
      <c r="D257" s="1" t="s">
        <v>56</v>
      </c>
      <c r="E257" s="2" t="s">
        <v>1688</v>
      </c>
      <c r="F257" s="4" t="s">
        <v>19</v>
      </c>
      <c r="G257" s="4">
        <v>2017.0</v>
      </c>
      <c r="H257" s="1" t="s">
        <v>1689</v>
      </c>
      <c r="I257" s="2" t="s">
        <v>93</v>
      </c>
      <c r="J257" s="5" t="s">
        <v>1690</v>
      </c>
      <c r="K257" s="9" t="s">
        <v>1690</v>
      </c>
      <c r="L257" s="2" t="s">
        <v>24</v>
      </c>
      <c r="M257" s="1"/>
      <c r="N257" s="1"/>
      <c r="O257" s="7" t="s">
        <v>1691</v>
      </c>
      <c r="P257" s="2"/>
      <c r="Q257" s="2"/>
      <c r="R257" s="2"/>
      <c r="S257" s="2"/>
      <c r="T257" s="2"/>
      <c r="U257" s="2"/>
      <c r="V257" s="2"/>
      <c r="W257" s="2"/>
      <c r="X257" s="2"/>
    </row>
    <row r="258" ht="15.75" customHeight="1">
      <c r="A258" s="1" t="s">
        <v>1692</v>
      </c>
      <c r="B258" s="40" t="s">
        <v>1693</v>
      </c>
      <c r="C258" s="7" t="s">
        <v>1694</v>
      </c>
      <c r="D258" s="1" t="s">
        <v>56</v>
      </c>
      <c r="E258" s="2" t="s">
        <v>1695</v>
      </c>
      <c r="F258" s="4" t="s">
        <v>19</v>
      </c>
      <c r="G258" s="4">
        <v>2017.0</v>
      </c>
      <c r="H258" s="1" t="s">
        <v>1696</v>
      </c>
      <c r="I258" s="2" t="s">
        <v>147</v>
      </c>
      <c r="J258" s="5" t="s">
        <v>1697</v>
      </c>
      <c r="K258" s="9" t="s">
        <v>1697</v>
      </c>
      <c r="L258" s="2" t="s">
        <v>24</v>
      </c>
      <c r="M258" s="1"/>
      <c r="N258" s="1"/>
      <c r="O258" s="7" t="s">
        <v>1698</v>
      </c>
      <c r="P258" s="2"/>
      <c r="Q258" s="2"/>
      <c r="R258" s="2"/>
      <c r="S258" s="2"/>
      <c r="T258" s="2"/>
      <c r="U258" s="2"/>
      <c r="V258" s="2"/>
      <c r="W258" s="2"/>
      <c r="X258" s="2"/>
    </row>
    <row r="259" ht="15.75" customHeight="1">
      <c r="A259" s="1" t="s">
        <v>1699</v>
      </c>
      <c r="B259" s="38" t="s">
        <v>1700</v>
      </c>
      <c r="C259" s="7" t="s">
        <v>1701</v>
      </c>
      <c r="D259" s="1" t="s">
        <v>247</v>
      </c>
      <c r="E259" s="2" t="s">
        <v>1702</v>
      </c>
      <c r="F259" s="4" t="s">
        <v>19</v>
      </c>
      <c r="G259" s="4">
        <v>2017.0</v>
      </c>
      <c r="H259" s="1" t="s">
        <v>1703</v>
      </c>
      <c r="I259" s="2"/>
      <c r="J259" s="5" t="s">
        <v>1704</v>
      </c>
      <c r="K259" s="9" t="s">
        <v>1704</v>
      </c>
      <c r="L259" s="2" t="s">
        <v>24</v>
      </c>
      <c r="M259" s="1"/>
      <c r="N259" s="1"/>
      <c r="O259" s="7" t="s">
        <v>1705</v>
      </c>
      <c r="P259" s="2"/>
      <c r="Q259" s="2"/>
      <c r="R259" s="2"/>
      <c r="S259" s="2"/>
      <c r="T259" s="2"/>
      <c r="U259" s="2"/>
      <c r="V259" s="2"/>
      <c r="W259" s="2"/>
      <c r="X259" s="2"/>
    </row>
    <row r="260" ht="15.75" customHeight="1">
      <c r="A260" s="1" t="s">
        <v>1706</v>
      </c>
      <c r="B260" s="38" t="s">
        <v>1707</v>
      </c>
      <c r="C260" s="7" t="s">
        <v>1708</v>
      </c>
      <c r="D260" s="1" t="s">
        <v>144</v>
      </c>
      <c r="E260" s="2" t="s">
        <v>1709</v>
      </c>
      <c r="F260" s="4" t="s">
        <v>19</v>
      </c>
      <c r="G260" s="4">
        <v>2017.0</v>
      </c>
      <c r="H260" s="1" t="s">
        <v>1710</v>
      </c>
      <c r="I260" s="2" t="s">
        <v>147</v>
      </c>
      <c r="J260" s="5" t="s">
        <v>1711</v>
      </c>
      <c r="K260" s="9" t="s">
        <v>1711</v>
      </c>
      <c r="L260" s="2" t="s">
        <v>24</v>
      </c>
      <c r="M260" s="1"/>
      <c r="N260" s="1"/>
      <c r="O260" s="7" t="s">
        <v>1712</v>
      </c>
      <c r="P260" s="2"/>
      <c r="Q260" s="2"/>
      <c r="R260" s="2"/>
      <c r="S260" s="2"/>
      <c r="T260" s="2"/>
      <c r="U260" s="2"/>
      <c r="V260" s="2"/>
      <c r="W260" s="2"/>
      <c r="X260" s="2"/>
    </row>
    <row r="261" ht="15.75" customHeight="1">
      <c r="A261" s="1" t="s">
        <v>1713</v>
      </c>
      <c r="B261" s="40" t="s">
        <v>1714</v>
      </c>
      <c r="C261" s="7" t="s">
        <v>1715</v>
      </c>
      <c r="D261" s="1" t="s">
        <v>136</v>
      </c>
      <c r="E261" s="2" t="s">
        <v>1716</v>
      </c>
      <c r="F261" s="4" t="s">
        <v>19</v>
      </c>
      <c r="G261" s="4">
        <v>2017.0</v>
      </c>
      <c r="H261" s="1" t="s">
        <v>1717</v>
      </c>
      <c r="I261" s="2"/>
      <c r="J261" s="5" t="s">
        <v>1718</v>
      </c>
      <c r="K261" s="9" t="s">
        <v>1718</v>
      </c>
      <c r="L261" s="2" t="s">
        <v>24</v>
      </c>
      <c r="M261" s="1" t="s">
        <v>1719</v>
      </c>
      <c r="N261" s="1"/>
      <c r="O261" s="7" t="s">
        <v>1720</v>
      </c>
      <c r="P261" s="2"/>
      <c r="Q261" s="2"/>
      <c r="R261" s="2"/>
      <c r="S261" s="2"/>
      <c r="T261" s="2"/>
      <c r="U261" s="2"/>
      <c r="V261" s="2"/>
      <c r="W261" s="2"/>
      <c r="X261" s="2"/>
    </row>
    <row r="262" ht="15.75" customHeight="1">
      <c r="A262" s="1" t="s">
        <v>1721</v>
      </c>
      <c r="B262" s="38" t="s">
        <v>1722</v>
      </c>
      <c r="C262" s="7" t="s">
        <v>1723</v>
      </c>
      <c r="D262" s="13" t="s">
        <v>48</v>
      </c>
      <c r="E262" s="2" t="s">
        <v>1724</v>
      </c>
      <c r="F262" s="4" t="s">
        <v>19</v>
      </c>
      <c r="G262" s="4">
        <v>2017.0</v>
      </c>
      <c r="H262" s="1" t="s">
        <v>1725</v>
      </c>
      <c r="I262" s="2" t="s">
        <v>147</v>
      </c>
      <c r="J262" s="5" t="s">
        <v>1726</v>
      </c>
      <c r="K262" s="9" t="s">
        <v>1726</v>
      </c>
      <c r="L262" s="2" t="s">
        <v>24</v>
      </c>
      <c r="M262" s="1"/>
      <c r="N262" s="1"/>
      <c r="O262" s="7" t="s">
        <v>1727</v>
      </c>
      <c r="P262" s="2"/>
      <c r="Q262" s="2"/>
      <c r="R262" s="2"/>
      <c r="S262" s="2"/>
      <c r="T262" s="2"/>
      <c r="U262" s="2"/>
      <c r="V262" s="2"/>
      <c r="W262" s="2"/>
      <c r="X262" s="2"/>
    </row>
    <row r="263" ht="15.75" customHeight="1">
      <c r="A263" s="1" t="s">
        <v>1728</v>
      </c>
      <c r="B263" s="40" t="s">
        <v>1729</v>
      </c>
      <c r="C263" s="7" t="s">
        <v>1730</v>
      </c>
      <c r="D263" s="13" t="s">
        <v>48</v>
      </c>
      <c r="E263" s="2" t="s">
        <v>1731</v>
      </c>
      <c r="F263" s="4" t="s">
        <v>1732</v>
      </c>
      <c r="G263" s="4">
        <v>2017.0</v>
      </c>
      <c r="H263" s="1" t="s">
        <v>1733</v>
      </c>
      <c r="I263" s="2"/>
      <c r="J263" s="5" t="s">
        <v>1734</v>
      </c>
      <c r="K263" s="9" t="s">
        <v>1734</v>
      </c>
      <c r="L263" s="2" t="s">
        <v>24</v>
      </c>
      <c r="M263" s="1"/>
      <c r="N263" s="1"/>
      <c r="O263" s="7" t="s">
        <v>1735</v>
      </c>
      <c r="P263" s="2"/>
      <c r="Q263" s="2"/>
      <c r="R263" s="2"/>
      <c r="S263" s="2"/>
      <c r="T263" s="2"/>
      <c r="U263" s="2"/>
      <c r="V263" s="2"/>
      <c r="W263" s="2"/>
      <c r="X263" s="2"/>
    </row>
    <row r="264" ht="15.75" customHeight="1">
      <c r="A264" s="1" t="s">
        <v>1736</v>
      </c>
      <c r="B264" s="38" t="s">
        <v>1737</v>
      </c>
      <c r="C264" s="7" t="str">
        <f>HYPERLINK("https://entouch.jp/","https://entouch.jp/")</f>
        <v>https://entouch.jp/</v>
      </c>
      <c r="D264" s="1" t="s">
        <v>187</v>
      </c>
      <c r="E264" s="2" t="s">
        <v>1738</v>
      </c>
      <c r="F264" s="4" t="s">
        <v>19</v>
      </c>
      <c r="G264" s="4">
        <v>2017.0</v>
      </c>
      <c r="H264" s="1" t="s">
        <v>1739</v>
      </c>
      <c r="I264" s="2"/>
      <c r="J264" s="5" t="s">
        <v>1740</v>
      </c>
      <c r="K264" s="14" t="s">
        <v>1740</v>
      </c>
      <c r="L264" s="2" t="s">
        <v>24</v>
      </c>
      <c r="M264" s="1"/>
      <c r="N264" s="1"/>
      <c r="O264" s="7" t="s">
        <v>1741</v>
      </c>
      <c r="P264" s="2"/>
      <c r="Q264" s="2"/>
      <c r="R264" s="2"/>
      <c r="S264" s="2"/>
      <c r="T264" s="2"/>
      <c r="U264" s="2"/>
      <c r="V264" s="2"/>
      <c r="W264" s="2"/>
      <c r="X264" s="2"/>
    </row>
    <row r="265" ht="15.75" customHeight="1">
      <c r="A265" s="1" t="s">
        <v>1742</v>
      </c>
      <c r="B265" s="38" t="s">
        <v>1743</v>
      </c>
      <c r="C265" s="7" t="s">
        <v>1744</v>
      </c>
      <c r="D265" s="1" t="s">
        <v>152</v>
      </c>
      <c r="E265" s="2" t="s">
        <v>1745</v>
      </c>
      <c r="F265" s="4" t="s">
        <v>19</v>
      </c>
      <c r="G265" s="4">
        <v>2017.0</v>
      </c>
      <c r="H265" s="1" t="s">
        <v>1746</v>
      </c>
      <c r="I265" s="2"/>
      <c r="J265" s="5" t="s">
        <v>1747</v>
      </c>
      <c r="K265" s="9" t="s">
        <v>1747</v>
      </c>
      <c r="L265" s="2" t="s">
        <v>24</v>
      </c>
      <c r="M265" s="1"/>
      <c r="N265" s="1"/>
      <c r="O265" s="7" t="s">
        <v>1748</v>
      </c>
      <c r="P265" s="2"/>
      <c r="Q265" s="2"/>
      <c r="R265" s="2"/>
      <c r="S265" s="2"/>
      <c r="T265" s="2"/>
      <c r="U265" s="2"/>
      <c r="V265" s="2"/>
      <c r="W265" s="2"/>
      <c r="X265" s="2"/>
    </row>
    <row r="266" ht="15.75" customHeight="1">
      <c r="A266" s="1" t="s">
        <v>1749</v>
      </c>
      <c r="B266" s="38" t="s">
        <v>1750</v>
      </c>
      <c r="C266" s="7" t="s">
        <v>1751</v>
      </c>
      <c r="D266" s="1" t="s">
        <v>39</v>
      </c>
      <c r="E266" s="2" t="s">
        <v>1752</v>
      </c>
      <c r="F266" s="4" t="s">
        <v>19</v>
      </c>
      <c r="G266" s="4">
        <v>2017.0</v>
      </c>
      <c r="H266" s="1" t="s">
        <v>1753</v>
      </c>
      <c r="I266" s="2"/>
      <c r="J266" s="5" t="s">
        <v>1754</v>
      </c>
      <c r="K266" s="9" t="s">
        <v>1754</v>
      </c>
      <c r="L266" s="2" t="s">
        <v>24</v>
      </c>
      <c r="M266" s="1"/>
      <c r="N266" s="1"/>
      <c r="O266" s="7" t="s">
        <v>1755</v>
      </c>
      <c r="P266" s="2"/>
      <c r="Q266" s="2"/>
      <c r="R266" s="2"/>
      <c r="S266" s="2"/>
      <c r="T266" s="2"/>
      <c r="U266" s="2"/>
      <c r="V266" s="2"/>
      <c r="W266" s="2"/>
      <c r="X266" s="2"/>
    </row>
    <row r="267" ht="15.75" customHeight="1">
      <c r="A267" s="1" t="s">
        <v>1756</v>
      </c>
      <c r="B267" s="40" t="s">
        <v>1757</v>
      </c>
      <c r="C267" s="7" t="s">
        <v>1758</v>
      </c>
      <c r="D267" s="1" t="s">
        <v>239</v>
      </c>
      <c r="E267" s="2" t="s">
        <v>1759</v>
      </c>
      <c r="F267" s="4" t="s">
        <v>19</v>
      </c>
      <c r="G267" s="4">
        <v>2017.0</v>
      </c>
      <c r="H267" s="1" t="s">
        <v>1760</v>
      </c>
      <c r="I267" s="2" t="s">
        <v>147</v>
      </c>
      <c r="J267" s="5" t="s">
        <v>1761</v>
      </c>
      <c r="K267" s="9" t="s">
        <v>1761</v>
      </c>
      <c r="L267" s="2" t="s">
        <v>24</v>
      </c>
      <c r="M267" s="1"/>
      <c r="N267" s="1"/>
      <c r="O267" s="7" t="s">
        <v>1762</v>
      </c>
      <c r="P267" s="2"/>
      <c r="Q267" s="2"/>
      <c r="R267" s="2"/>
      <c r="S267" s="2"/>
      <c r="T267" s="2"/>
      <c r="U267" s="2"/>
      <c r="V267" s="2"/>
      <c r="W267" s="2"/>
      <c r="X267" s="2"/>
    </row>
    <row r="268" ht="15.75" customHeight="1">
      <c r="A268" s="1" t="s">
        <v>1763</v>
      </c>
      <c r="B268" s="40" t="s">
        <v>1764</v>
      </c>
      <c r="C268" s="7" t="s">
        <v>1765</v>
      </c>
      <c r="D268" s="1" t="s">
        <v>39</v>
      </c>
      <c r="E268" s="2" t="s">
        <v>1766</v>
      </c>
      <c r="F268" s="4" t="s">
        <v>1767</v>
      </c>
      <c r="G268" s="4">
        <v>2017.0</v>
      </c>
      <c r="H268" s="1" t="s">
        <v>1768</v>
      </c>
      <c r="I268" s="2"/>
      <c r="J268" s="5" t="s">
        <v>1769</v>
      </c>
      <c r="K268" s="9" t="s">
        <v>1769</v>
      </c>
      <c r="L268" s="2" t="s">
        <v>24</v>
      </c>
      <c r="M268" s="1"/>
      <c r="N268" s="1"/>
      <c r="O268" s="7" t="s">
        <v>1770</v>
      </c>
      <c r="P268" s="2"/>
      <c r="Q268" s="2"/>
      <c r="R268" s="2"/>
      <c r="S268" s="2"/>
      <c r="T268" s="2"/>
      <c r="U268" s="2"/>
      <c r="V268" s="2"/>
      <c r="W268" s="2"/>
      <c r="X268" s="2"/>
    </row>
    <row r="269" ht="15.75" customHeight="1">
      <c r="A269" s="1" t="s">
        <v>1771</v>
      </c>
      <c r="B269" s="40" t="s">
        <v>1772</v>
      </c>
      <c r="C269" s="7" t="s">
        <v>1773</v>
      </c>
      <c r="D269" s="1" t="s">
        <v>179</v>
      </c>
      <c r="E269" s="2" t="s">
        <v>1774</v>
      </c>
      <c r="F269" s="4" t="s">
        <v>19</v>
      </c>
      <c r="G269" s="4">
        <v>2018.0</v>
      </c>
      <c r="H269" s="1" t="s">
        <v>1775</v>
      </c>
      <c r="I269" s="2"/>
      <c r="J269" s="5" t="s">
        <v>1776</v>
      </c>
      <c r="K269" s="9" t="s">
        <v>1776</v>
      </c>
      <c r="L269" s="2" t="s">
        <v>24</v>
      </c>
      <c r="M269" s="1"/>
      <c r="N269" s="1"/>
      <c r="O269" s="7" t="s">
        <v>1777</v>
      </c>
      <c r="P269" s="2"/>
      <c r="Q269" s="2"/>
      <c r="R269" s="2"/>
      <c r="S269" s="2"/>
      <c r="T269" s="2"/>
      <c r="U269" s="2"/>
      <c r="V269" s="2"/>
      <c r="W269" s="2"/>
      <c r="X269" s="2"/>
    </row>
    <row r="270" ht="15.75" customHeight="1">
      <c r="A270" s="1" t="s">
        <v>1778</v>
      </c>
      <c r="B270" s="42" t="s">
        <v>1779</v>
      </c>
      <c r="C270" s="12" t="s">
        <v>1780</v>
      </c>
      <c r="D270" s="1" t="s">
        <v>187</v>
      </c>
      <c r="E270" s="2" t="s">
        <v>1781</v>
      </c>
      <c r="F270" s="4" t="s">
        <v>19</v>
      </c>
      <c r="G270" s="4">
        <v>2018.0</v>
      </c>
      <c r="H270" s="1" t="s">
        <v>1782</v>
      </c>
      <c r="I270" s="2"/>
      <c r="J270" s="5" t="s">
        <v>1783</v>
      </c>
      <c r="K270" s="5" t="s">
        <v>1783</v>
      </c>
      <c r="L270" s="2" t="s">
        <v>24</v>
      </c>
      <c r="M270" s="1"/>
      <c r="N270" s="1"/>
      <c r="O270" s="7" t="s">
        <v>1784</v>
      </c>
      <c r="P270" s="2"/>
      <c r="Q270" s="2"/>
      <c r="R270" s="2"/>
      <c r="S270" s="2"/>
      <c r="T270" s="2"/>
      <c r="U270" s="2"/>
      <c r="V270" s="2"/>
      <c r="W270" s="2"/>
      <c r="X270" s="2"/>
    </row>
    <row r="271" ht="15.75" customHeight="1">
      <c r="A271" s="1" t="s">
        <v>1785</v>
      </c>
      <c r="B271" s="40" t="s">
        <v>1786</v>
      </c>
      <c r="C271" s="7" t="s">
        <v>1787</v>
      </c>
      <c r="D271" s="1" t="s">
        <v>266</v>
      </c>
      <c r="E271" s="2" t="s">
        <v>1788</v>
      </c>
      <c r="F271" s="4" t="s">
        <v>58</v>
      </c>
      <c r="G271" s="4">
        <v>2018.0</v>
      </c>
      <c r="H271" s="1" t="s">
        <v>1789</v>
      </c>
      <c r="I271" s="2"/>
      <c r="J271" s="5" t="s">
        <v>1790</v>
      </c>
      <c r="K271" s="9" t="s">
        <v>1791</v>
      </c>
      <c r="L271" s="2" t="s">
        <v>24</v>
      </c>
      <c r="M271" s="1"/>
      <c r="N271" s="1"/>
      <c r="O271" s="7" t="s">
        <v>1792</v>
      </c>
      <c r="P271" s="2"/>
      <c r="Q271" s="2"/>
      <c r="R271" s="2"/>
      <c r="S271" s="2"/>
      <c r="T271" s="2"/>
      <c r="U271" s="2"/>
      <c r="V271" s="2"/>
      <c r="W271" s="2"/>
      <c r="X271" s="2"/>
    </row>
    <row r="272" ht="15.75" customHeight="1">
      <c r="A272" s="1" t="s">
        <v>1793</v>
      </c>
      <c r="B272" s="38" t="s">
        <v>1794</v>
      </c>
      <c r="C272" s="7" t="s">
        <v>1795</v>
      </c>
      <c r="D272" s="1" t="s">
        <v>266</v>
      </c>
      <c r="E272" s="2" t="s">
        <v>1796</v>
      </c>
      <c r="F272" s="4" t="s">
        <v>19</v>
      </c>
      <c r="G272" s="4">
        <v>2018.0</v>
      </c>
      <c r="H272" s="1" t="s">
        <v>1797</v>
      </c>
      <c r="I272" s="2"/>
      <c r="J272" s="5" t="s">
        <v>1798</v>
      </c>
      <c r="K272" s="9" t="s">
        <v>1798</v>
      </c>
      <c r="L272" s="2" t="s">
        <v>24</v>
      </c>
      <c r="M272" s="1"/>
      <c r="N272" s="1"/>
      <c r="O272" s="7" t="s">
        <v>1799</v>
      </c>
      <c r="P272" s="2"/>
      <c r="Q272" s="2"/>
      <c r="R272" s="2"/>
      <c r="S272" s="2"/>
      <c r="T272" s="2"/>
      <c r="U272" s="2"/>
      <c r="V272" s="2"/>
      <c r="W272" s="2"/>
      <c r="X272" s="2"/>
    </row>
    <row r="273" ht="15.75" customHeight="1">
      <c r="A273" s="1" t="s">
        <v>1800</v>
      </c>
      <c r="B273" s="38" t="s">
        <v>1801</v>
      </c>
      <c r="C273" s="7" t="s">
        <v>1802</v>
      </c>
      <c r="D273" s="2" t="s">
        <v>90</v>
      </c>
      <c r="E273" s="2" t="s">
        <v>1803</v>
      </c>
      <c r="F273" s="4" t="s">
        <v>19</v>
      </c>
      <c r="G273" s="4">
        <v>2018.0</v>
      </c>
      <c r="H273" s="1" t="s">
        <v>1804</v>
      </c>
      <c r="I273" s="2"/>
      <c r="J273" s="5" t="s">
        <v>1805</v>
      </c>
      <c r="K273" s="9" t="s">
        <v>1805</v>
      </c>
      <c r="L273" s="2" t="s">
        <v>24</v>
      </c>
      <c r="M273" s="1"/>
      <c r="N273" s="1"/>
      <c r="O273" s="7" t="s">
        <v>1806</v>
      </c>
      <c r="P273" s="2"/>
      <c r="Q273" s="2"/>
      <c r="R273" s="2"/>
      <c r="S273" s="2"/>
      <c r="T273" s="2"/>
      <c r="U273" s="2"/>
      <c r="V273" s="2"/>
      <c r="W273" s="2"/>
      <c r="X273" s="2"/>
    </row>
    <row r="274" ht="15.75" customHeight="1">
      <c r="A274" s="1" t="s">
        <v>1807</v>
      </c>
      <c r="B274" s="40" t="s">
        <v>1808</v>
      </c>
      <c r="C274" s="7" t="s">
        <v>1809</v>
      </c>
      <c r="D274" s="1" t="s">
        <v>17</v>
      </c>
      <c r="E274" s="2" t="s">
        <v>1810</v>
      </c>
      <c r="F274" s="4" t="s">
        <v>19</v>
      </c>
      <c r="G274" s="4">
        <v>2018.0</v>
      </c>
      <c r="H274" s="1" t="s">
        <v>1811</v>
      </c>
      <c r="I274" s="2"/>
      <c r="J274" s="5" t="s">
        <v>1812</v>
      </c>
      <c r="K274" s="9" t="s">
        <v>1812</v>
      </c>
      <c r="L274" s="2" t="s">
        <v>24</v>
      </c>
      <c r="M274" s="1"/>
      <c r="N274" s="1"/>
      <c r="O274" s="7" t="s">
        <v>1813</v>
      </c>
      <c r="P274" s="2"/>
      <c r="Q274" s="2"/>
      <c r="R274" s="2"/>
      <c r="S274" s="2"/>
      <c r="T274" s="2"/>
      <c r="U274" s="2"/>
      <c r="V274" s="2"/>
      <c r="W274" s="2"/>
      <c r="X274" s="2"/>
    </row>
    <row r="275" ht="15.75" customHeight="1">
      <c r="A275" s="1" t="s">
        <v>1814</v>
      </c>
      <c r="B275" s="40" t="s">
        <v>1815</v>
      </c>
      <c r="C275" s="7" t="s">
        <v>1816</v>
      </c>
      <c r="D275" s="1" t="s">
        <v>17</v>
      </c>
      <c r="E275" s="2" t="s">
        <v>1817</v>
      </c>
      <c r="F275" s="4" t="s">
        <v>19</v>
      </c>
      <c r="G275" s="4">
        <v>2018.0</v>
      </c>
      <c r="H275" s="1" t="s">
        <v>1818</v>
      </c>
      <c r="I275" s="2"/>
      <c r="J275" s="5" t="s">
        <v>1819</v>
      </c>
      <c r="K275" s="9" t="s">
        <v>1820</v>
      </c>
      <c r="L275" s="2" t="s">
        <v>24</v>
      </c>
      <c r="M275" s="1"/>
      <c r="N275" s="1"/>
      <c r="O275" s="7" t="s">
        <v>1821</v>
      </c>
      <c r="P275" s="2"/>
      <c r="Q275" s="2"/>
      <c r="R275" s="2"/>
      <c r="S275" s="2"/>
      <c r="T275" s="2"/>
      <c r="U275" s="2"/>
      <c r="V275" s="2"/>
      <c r="W275" s="2"/>
      <c r="X275" s="2"/>
    </row>
    <row r="276" ht="15.75" customHeight="1">
      <c r="A276" s="1" t="s">
        <v>1822</v>
      </c>
      <c r="B276" s="38" t="s">
        <v>1823</v>
      </c>
      <c r="C276" s="7" t="s">
        <v>1824</v>
      </c>
      <c r="D276" s="1" t="s">
        <v>567</v>
      </c>
      <c r="E276" s="2" t="s">
        <v>1825</v>
      </c>
      <c r="F276" s="4" t="s">
        <v>19</v>
      </c>
      <c r="G276" s="4">
        <v>2018.0</v>
      </c>
      <c r="H276" s="1" t="s">
        <v>1826</v>
      </c>
      <c r="I276" s="2"/>
      <c r="J276" s="5" t="s">
        <v>1827</v>
      </c>
      <c r="K276" s="9" t="s">
        <v>1827</v>
      </c>
      <c r="L276" s="2" t="s">
        <v>24</v>
      </c>
      <c r="M276" s="1"/>
      <c r="N276" s="1"/>
      <c r="O276" s="7" t="s">
        <v>1828</v>
      </c>
      <c r="P276" s="2"/>
      <c r="Q276" s="2"/>
      <c r="R276" s="2"/>
      <c r="S276" s="2"/>
      <c r="T276" s="2"/>
      <c r="U276" s="2"/>
      <c r="V276" s="2"/>
      <c r="W276" s="2"/>
      <c r="X276" s="2"/>
    </row>
    <row r="277" ht="15.75" customHeight="1">
      <c r="A277" s="1" t="s">
        <v>1829</v>
      </c>
      <c r="B277" s="38" t="s">
        <v>1830</v>
      </c>
      <c r="C277" s="7" t="s">
        <v>1831</v>
      </c>
      <c r="D277" s="1" t="s">
        <v>567</v>
      </c>
      <c r="E277" s="2" t="s">
        <v>1832</v>
      </c>
      <c r="F277" s="4" t="s">
        <v>19</v>
      </c>
      <c r="G277" s="4">
        <v>2018.0</v>
      </c>
      <c r="H277" s="1" t="s">
        <v>1833</v>
      </c>
      <c r="I277" s="2" t="s">
        <v>93</v>
      </c>
      <c r="J277" s="5" t="s">
        <v>1834</v>
      </c>
      <c r="K277" s="9" t="s">
        <v>1834</v>
      </c>
      <c r="L277" s="2" t="s">
        <v>24</v>
      </c>
      <c r="M277" s="1"/>
      <c r="N277" s="1"/>
      <c r="O277" s="7" t="s">
        <v>1835</v>
      </c>
      <c r="P277" s="2"/>
      <c r="Q277" s="2"/>
      <c r="R277" s="2"/>
      <c r="S277" s="2"/>
      <c r="T277" s="2"/>
      <c r="U277" s="2"/>
      <c r="V277" s="2"/>
      <c r="W277" s="2"/>
      <c r="X277" s="2"/>
    </row>
    <row r="278" ht="15.75" customHeight="1">
      <c r="A278" s="1" t="s">
        <v>1836</v>
      </c>
      <c r="B278" s="38" t="s">
        <v>1837</v>
      </c>
      <c r="C278" s="7" t="s">
        <v>1838</v>
      </c>
      <c r="D278" s="1" t="s">
        <v>39</v>
      </c>
      <c r="E278" s="2" t="s">
        <v>1839</v>
      </c>
      <c r="F278" s="4" t="s">
        <v>19</v>
      </c>
      <c r="G278" s="4">
        <v>2017.0</v>
      </c>
      <c r="H278" s="1" t="s">
        <v>1840</v>
      </c>
      <c r="I278" s="68" t="s">
        <v>147</v>
      </c>
      <c r="J278" s="5" t="s">
        <v>1841</v>
      </c>
      <c r="K278" s="14" t="s">
        <v>1841</v>
      </c>
      <c r="L278" s="2" t="s">
        <v>24</v>
      </c>
      <c r="M278" s="1"/>
      <c r="N278" s="1"/>
      <c r="O278" s="7" t="s">
        <v>1842</v>
      </c>
      <c r="P278" s="2"/>
      <c r="Q278" s="2"/>
      <c r="R278" s="2"/>
      <c r="S278" s="2"/>
      <c r="T278" s="2"/>
      <c r="U278" s="2"/>
      <c r="V278" s="2"/>
      <c r="W278" s="2"/>
      <c r="X278" s="2"/>
    </row>
    <row r="279" ht="15.75" customHeight="1">
      <c r="A279" s="1" t="s">
        <v>1843</v>
      </c>
      <c r="B279" s="48" t="s">
        <v>1844</v>
      </c>
      <c r="C279" s="7" t="s">
        <v>1845</v>
      </c>
      <c r="D279" s="1" t="s">
        <v>56</v>
      </c>
      <c r="E279" s="2" t="s">
        <v>1846</v>
      </c>
      <c r="F279" s="4" t="s">
        <v>19</v>
      </c>
      <c r="G279" s="4">
        <v>2018.0</v>
      </c>
      <c r="H279" s="1" t="s">
        <v>1847</v>
      </c>
      <c r="I279" s="2"/>
      <c r="J279" s="5" t="s">
        <v>1848</v>
      </c>
      <c r="K279" s="9" t="s">
        <v>1848</v>
      </c>
      <c r="L279" s="2" t="s">
        <v>24</v>
      </c>
      <c r="M279" s="1"/>
      <c r="N279" s="1"/>
      <c r="O279" s="7" t="s">
        <v>1849</v>
      </c>
      <c r="P279" s="2"/>
      <c r="Q279" s="2"/>
      <c r="R279" s="2"/>
      <c r="S279" s="2"/>
      <c r="T279" s="2"/>
      <c r="U279" s="2"/>
      <c r="V279" s="2"/>
      <c r="W279" s="2"/>
      <c r="X279" s="2"/>
    </row>
    <row r="280" ht="15.75" customHeight="1">
      <c r="A280" s="1" t="s">
        <v>1850</v>
      </c>
      <c r="B280" s="48" t="s">
        <v>1851</v>
      </c>
      <c r="C280" s="7" t="s">
        <v>1852</v>
      </c>
      <c r="D280" s="1" t="s">
        <v>56</v>
      </c>
      <c r="E280" s="2" t="s">
        <v>1853</v>
      </c>
      <c r="F280" s="4" t="s">
        <v>41</v>
      </c>
      <c r="G280" s="4">
        <v>2018.0</v>
      </c>
      <c r="H280" s="1" t="s">
        <v>1854</v>
      </c>
      <c r="I280" s="2" t="s">
        <v>147</v>
      </c>
      <c r="J280" s="5" t="s">
        <v>1855</v>
      </c>
      <c r="K280" s="5" t="s">
        <v>1855</v>
      </c>
      <c r="L280" s="2" t="s">
        <v>24</v>
      </c>
      <c r="M280" s="1"/>
      <c r="N280" s="1"/>
      <c r="O280" s="7" t="s">
        <v>1856</v>
      </c>
      <c r="P280" s="2"/>
      <c r="Q280" s="2"/>
      <c r="R280" s="2"/>
      <c r="S280" s="2"/>
      <c r="T280" s="2"/>
      <c r="U280" s="2"/>
      <c r="V280" s="2"/>
      <c r="W280" s="2"/>
      <c r="X280" s="2"/>
    </row>
    <row r="281" ht="15.75" customHeight="1">
      <c r="A281" s="1" t="s">
        <v>484</v>
      </c>
      <c r="B281" s="69" t="s">
        <v>1857</v>
      </c>
      <c r="C281" s="12" t="s">
        <v>1858</v>
      </c>
      <c r="D281" s="1" t="s">
        <v>247</v>
      </c>
      <c r="E281" s="2" t="s">
        <v>1859</v>
      </c>
      <c r="F281" s="4" t="s">
        <v>19</v>
      </c>
      <c r="G281" s="4">
        <v>2018.0</v>
      </c>
      <c r="H281" s="1" t="s">
        <v>1860</v>
      </c>
      <c r="I281" s="2" t="s">
        <v>21</v>
      </c>
      <c r="J281" s="5" t="s">
        <v>1861</v>
      </c>
      <c r="K281" s="5" t="s">
        <v>1862</v>
      </c>
      <c r="L281" s="2" t="s">
        <v>24</v>
      </c>
      <c r="M281" s="1" t="s">
        <v>1863</v>
      </c>
      <c r="N281" s="2" t="s">
        <v>1864</v>
      </c>
      <c r="O281" s="7" t="s">
        <v>1865</v>
      </c>
      <c r="P281" s="2"/>
      <c r="Q281" s="2"/>
      <c r="R281" s="2"/>
      <c r="S281" s="2"/>
      <c r="T281" s="2"/>
      <c r="U281" s="2"/>
      <c r="V281" s="2"/>
      <c r="W281" s="2"/>
      <c r="X281" s="2"/>
    </row>
    <row r="282" ht="15.75" customHeight="1">
      <c r="A282" s="1" t="s">
        <v>1866</v>
      </c>
      <c r="B282" s="48" t="s">
        <v>1867</v>
      </c>
      <c r="C282" s="7" t="s">
        <v>1868</v>
      </c>
      <c r="D282" s="1" t="s">
        <v>247</v>
      </c>
      <c r="E282" s="2" t="s">
        <v>1869</v>
      </c>
      <c r="F282" s="4" t="s">
        <v>41</v>
      </c>
      <c r="G282" s="4">
        <v>2018.0</v>
      </c>
      <c r="H282" s="1" t="s">
        <v>1870</v>
      </c>
      <c r="I282" s="2"/>
      <c r="J282" s="14" t="s">
        <v>1871</v>
      </c>
      <c r="K282" s="14" t="s">
        <v>1871</v>
      </c>
      <c r="L282" s="2" t="s">
        <v>24</v>
      </c>
      <c r="M282" s="1"/>
      <c r="N282" s="1"/>
      <c r="O282" s="7" t="s">
        <v>1872</v>
      </c>
      <c r="P282" s="2"/>
      <c r="Q282" s="2"/>
      <c r="R282" s="2"/>
      <c r="S282" s="2"/>
      <c r="T282" s="2"/>
      <c r="U282" s="2"/>
      <c r="V282" s="2"/>
      <c r="W282" s="2"/>
      <c r="X282" s="2"/>
    </row>
    <row r="283" ht="15.75" customHeight="1">
      <c r="A283" s="1" t="s">
        <v>1873</v>
      </c>
      <c r="B283" s="48" t="s">
        <v>1874</v>
      </c>
      <c r="C283" s="7" t="s">
        <v>1875</v>
      </c>
      <c r="D283" s="1" t="s">
        <v>144</v>
      </c>
      <c r="E283" s="2" t="s">
        <v>1876</v>
      </c>
      <c r="F283" s="4" t="s">
        <v>19</v>
      </c>
      <c r="G283" s="4">
        <v>2018.0</v>
      </c>
      <c r="H283" s="1" t="s">
        <v>1877</v>
      </c>
      <c r="I283" s="2"/>
      <c r="J283" s="5" t="s">
        <v>1878</v>
      </c>
      <c r="K283" s="5" t="s">
        <v>1878</v>
      </c>
      <c r="L283" s="2" t="s">
        <v>24</v>
      </c>
      <c r="M283" s="1"/>
      <c r="N283" s="1"/>
      <c r="O283" s="7" t="s">
        <v>1879</v>
      </c>
      <c r="P283" s="2"/>
      <c r="Q283" s="2"/>
      <c r="R283" s="2"/>
      <c r="S283" s="2"/>
      <c r="T283" s="2"/>
      <c r="U283" s="2"/>
      <c r="V283" s="2"/>
      <c r="W283" s="2"/>
      <c r="X283" s="2"/>
    </row>
    <row r="284" ht="15.75" customHeight="1">
      <c r="A284" s="1" t="s">
        <v>1880</v>
      </c>
      <c r="B284" s="69" t="s">
        <v>1881</v>
      </c>
      <c r="C284" s="12" t="s">
        <v>1882</v>
      </c>
      <c r="D284" s="1" t="s">
        <v>56</v>
      </c>
      <c r="E284" s="2" t="s">
        <v>1883</v>
      </c>
      <c r="F284" s="4" t="s">
        <v>19</v>
      </c>
      <c r="G284" s="4">
        <v>2018.0</v>
      </c>
      <c r="H284" s="1" t="s">
        <v>1884</v>
      </c>
      <c r="I284" s="2"/>
      <c r="J284" s="5" t="s">
        <v>1885</v>
      </c>
      <c r="K284" s="5" t="s">
        <v>1885</v>
      </c>
      <c r="L284" s="2" t="s">
        <v>24</v>
      </c>
      <c r="M284" s="1"/>
      <c r="N284" s="1"/>
      <c r="O284" s="7" t="s">
        <v>1886</v>
      </c>
      <c r="P284" s="2"/>
      <c r="Q284" s="2"/>
      <c r="R284" s="2"/>
      <c r="S284" s="2"/>
      <c r="T284" s="2"/>
      <c r="U284" s="2"/>
      <c r="V284" s="2"/>
      <c r="W284" s="2"/>
      <c r="X284" s="2"/>
    </row>
    <row r="285" ht="15.75" customHeight="1">
      <c r="A285" s="1" t="s">
        <v>1887</v>
      </c>
      <c r="B285" s="69" t="s">
        <v>1888</v>
      </c>
      <c r="C285" s="12" t="s">
        <v>1889</v>
      </c>
      <c r="D285" s="1" t="s">
        <v>136</v>
      </c>
      <c r="E285" s="2" t="s">
        <v>1890</v>
      </c>
      <c r="F285" s="4" t="s">
        <v>19</v>
      </c>
      <c r="G285" s="4">
        <v>2018.0</v>
      </c>
      <c r="H285" s="1" t="s">
        <v>1891</v>
      </c>
      <c r="I285" s="2"/>
      <c r="J285" s="5" t="s">
        <v>1892</v>
      </c>
      <c r="K285" s="5" t="s">
        <v>1892</v>
      </c>
      <c r="L285" s="2" t="s">
        <v>24</v>
      </c>
      <c r="M285" s="1"/>
      <c r="N285" s="1"/>
      <c r="O285" s="7" t="s">
        <v>1893</v>
      </c>
      <c r="P285" s="2"/>
      <c r="Q285" s="2"/>
      <c r="R285" s="2"/>
      <c r="S285" s="2"/>
      <c r="T285" s="2"/>
      <c r="U285" s="2"/>
      <c r="V285" s="2"/>
      <c r="W285" s="2"/>
      <c r="X285" s="2"/>
    </row>
    <row r="286" ht="15.75" customHeight="1">
      <c r="A286" s="1" t="s">
        <v>1894</v>
      </c>
      <c r="B286" s="69" t="s">
        <v>1895</v>
      </c>
      <c r="C286" s="12" t="s">
        <v>1896</v>
      </c>
      <c r="D286" s="1" t="s">
        <v>1897</v>
      </c>
      <c r="E286" s="2" t="s">
        <v>1898</v>
      </c>
      <c r="F286" s="4" t="s">
        <v>19</v>
      </c>
      <c r="G286" s="4">
        <v>2018.0</v>
      </c>
      <c r="H286" s="1" t="s">
        <v>1899</v>
      </c>
      <c r="I286" s="2"/>
      <c r="J286" s="5" t="s">
        <v>1900</v>
      </c>
      <c r="K286" s="5" t="s">
        <v>1900</v>
      </c>
      <c r="L286" s="2" t="s">
        <v>24</v>
      </c>
      <c r="M286" s="1" t="s">
        <v>1901</v>
      </c>
      <c r="N286" s="1"/>
      <c r="O286" s="7" t="s">
        <v>1902</v>
      </c>
      <c r="P286" s="2"/>
      <c r="Q286" s="2"/>
      <c r="R286" s="2"/>
      <c r="S286" s="2"/>
      <c r="T286" s="2"/>
      <c r="U286" s="2"/>
      <c r="V286" s="2"/>
      <c r="W286" s="2"/>
      <c r="X286" s="2"/>
    </row>
    <row r="287" ht="15.75" customHeight="1">
      <c r="A287" s="1" t="s">
        <v>1903</v>
      </c>
      <c r="B287" s="48" t="s">
        <v>1904</v>
      </c>
      <c r="C287" s="7" t="s">
        <v>1905</v>
      </c>
      <c r="D287" s="1" t="s">
        <v>116</v>
      </c>
      <c r="E287" s="2" t="s">
        <v>1906</v>
      </c>
      <c r="F287" s="4" t="s">
        <v>19</v>
      </c>
      <c r="G287" s="4">
        <v>2018.0</v>
      </c>
      <c r="H287" s="1" t="s">
        <v>1907</v>
      </c>
      <c r="I287" s="2"/>
      <c r="J287" s="5" t="s">
        <v>1908</v>
      </c>
      <c r="K287" s="14" t="s">
        <v>1909</v>
      </c>
      <c r="L287" s="2" t="s">
        <v>24</v>
      </c>
      <c r="M287" s="1"/>
      <c r="N287" s="1"/>
      <c r="O287" s="7" t="s">
        <v>1910</v>
      </c>
      <c r="P287" s="2"/>
      <c r="Q287" s="2"/>
      <c r="R287" s="2"/>
      <c r="S287" s="2"/>
      <c r="T287" s="2"/>
      <c r="U287" s="2"/>
      <c r="V287" s="2"/>
      <c r="W287" s="2"/>
      <c r="X287" s="2"/>
    </row>
    <row r="288" ht="15.75" customHeight="1">
      <c r="A288" s="1" t="s">
        <v>1911</v>
      </c>
      <c r="B288" s="48" t="s">
        <v>1912</v>
      </c>
      <c r="C288" s="7" t="s">
        <v>1913</v>
      </c>
      <c r="D288" s="1" t="s">
        <v>116</v>
      </c>
      <c r="E288" s="2" t="s">
        <v>1914</v>
      </c>
      <c r="F288" s="4" t="s">
        <v>19</v>
      </c>
      <c r="G288" s="4">
        <v>2018.0</v>
      </c>
      <c r="H288" s="1" t="s">
        <v>1915</v>
      </c>
      <c r="I288" s="2"/>
      <c r="J288" s="5" t="s">
        <v>1916</v>
      </c>
      <c r="K288" s="5" t="s">
        <v>1916</v>
      </c>
      <c r="L288" s="2" t="s">
        <v>24</v>
      </c>
      <c r="M288" s="1"/>
      <c r="N288" s="1"/>
      <c r="O288" s="7" t="s">
        <v>1917</v>
      </c>
      <c r="P288" s="2"/>
      <c r="Q288" s="2"/>
      <c r="R288" s="2"/>
      <c r="S288" s="2"/>
      <c r="T288" s="2"/>
      <c r="U288" s="2"/>
      <c r="V288" s="2"/>
      <c r="W288" s="2"/>
      <c r="X288" s="2"/>
    </row>
    <row r="289" ht="15.75" customHeight="1">
      <c r="A289" s="1" t="s">
        <v>1918</v>
      </c>
      <c r="B289" s="69" t="s">
        <v>1919</v>
      </c>
      <c r="C289" s="12" t="s">
        <v>1920</v>
      </c>
      <c r="D289" s="1" t="s">
        <v>17</v>
      </c>
      <c r="E289" s="2" t="s">
        <v>1921</v>
      </c>
      <c r="F289" s="4" t="s">
        <v>19</v>
      </c>
      <c r="G289" s="4">
        <v>2018.0</v>
      </c>
      <c r="H289" s="1" t="s">
        <v>1922</v>
      </c>
      <c r="I289" s="2"/>
      <c r="J289" s="5" t="s">
        <v>51</v>
      </c>
      <c r="K289" s="5" t="s">
        <v>51</v>
      </c>
      <c r="L289" s="2" t="s">
        <v>24</v>
      </c>
      <c r="M289" s="1"/>
      <c r="N289" s="1"/>
      <c r="O289" s="7" t="s">
        <v>1923</v>
      </c>
      <c r="P289" s="2"/>
      <c r="Q289" s="2"/>
      <c r="R289" s="2"/>
      <c r="S289" s="2"/>
      <c r="T289" s="2"/>
      <c r="U289" s="2"/>
      <c r="V289" s="2"/>
      <c r="W289" s="2"/>
      <c r="X289" s="2"/>
    </row>
    <row r="290" ht="15.75" customHeight="1">
      <c r="A290" s="1" t="s">
        <v>1924</v>
      </c>
      <c r="B290" s="48" t="s">
        <v>1925</v>
      </c>
      <c r="C290" s="7" t="s">
        <v>1926</v>
      </c>
      <c r="D290" s="1" t="s">
        <v>82</v>
      </c>
      <c r="E290" s="2" t="s">
        <v>1927</v>
      </c>
      <c r="F290" s="4" t="s">
        <v>19</v>
      </c>
      <c r="G290" s="4">
        <v>2018.0</v>
      </c>
      <c r="H290" s="1" t="s">
        <v>1928</v>
      </c>
      <c r="I290" s="2" t="s">
        <v>93</v>
      </c>
      <c r="J290" s="5" t="s">
        <v>1929</v>
      </c>
      <c r="K290" s="5" t="s">
        <v>1929</v>
      </c>
      <c r="L290" s="2" t="s">
        <v>24</v>
      </c>
      <c r="M290" s="1"/>
      <c r="N290" s="1"/>
      <c r="O290" s="7" t="s">
        <v>1930</v>
      </c>
      <c r="P290" s="2"/>
      <c r="Q290" s="2"/>
      <c r="R290" s="2"/>
      <c r="S290" s="2"/>
      <c r="T290" s="2"/>
      <c r="U290" s="2"/>
      <c r="V290" s="2"/>
      <c r="W290" s="2"/>
      <c r="X290" s="2"/>
    </row>
    <row r="291" ht="15.75" customHeight="1">
      <c r="A291" s="1" t="s">
        <v>1931</v>
      </c>
      <c r="B291" s="48" t="s">
        <v>1932</v>
      </c>
      <c r="C291" s="7" t="s">
        <v>1933</v>
      </c>
      <c r="D291" s="1" t="s">
        <v>17</v>
      </c>
      <c r="E291" s="2" t="s">
        <v>1934</v>
      </c>
      <c r="F291" s="4" t="s">
        <v>19</v>
      </c>
      <c r="G291" s="4">
        <v>2018.0</v>
      </c>
      <c r="H291" s="1" t="s">
        <v>1935</v>
      </c>
      <c r="I291" s="2"/>
      <c r="J291" s="5" t="s">
        <v>1936</v>
      </c>
      <c r="K291" s="14" t="s">
        <v>1937</v>
      </c>
      <c r="L291" s="2" t="s">
        <v>24</v>
      </c>
      <c r="M291" s="1"/>
      <c r="N291" s="1"/>
      <c r="O291" s="7" t="s">
        <v>1938</v>
      </c>
      <c r="P291" s="2"/>
      <c r="Q291" s="2"/>
      <c r="R291" s="2"/>
      <c r="S291" s="2"/>
      <c r="T291" s="2"/>
      <c r="U291" s="2"/>
      <c r="V291" s="2"/>
      <c r="W291" s="2"/>
      <c r="X291" s="2"/>
    </row>
    <row r="292" ht="15.75" customHeight="1">
      <c r="A292" s="1" t="s">
        <v>1939</v>
      </c>
      <c r="B292" s="69" t="s">
        <v>1940</v>
      </c>
      <c r="C292" s="12" t="s">
        <v>1941</v>
      </c>
      <c r="D292" s="1" t="s">
        <v>266</v>
      </c>
      <c r="E292" s="2" t="s">
        <v>1942</v>
      </c>
      <c r="F292" s="4" t="s">
        <v>19</v>
      </c>
      <c r="G292" s="4">
        <v>2019.0</v>
      </c>
      <c r="H292" s="1" t="s">
        <v>1943</v>
      </c>
      <c r="I292" s="2"/>
      <c r="J292" s="5" t="s">
        <v>1944</v>
      </c>
      <c r="K292" s="14" t="s">
        <v>1945</v>
      </c>
      <c r="L292" s="2" t="s">
        <v>24</v>
      </c>
      <c r="M292" s="1"/>
      <c r="N292" s="1"/>
      <c r="O292" s="7" t="s">
        <v>1946</v>
      </c>
      <c r="P292" s="2"/>
      <c r="Q292" s="2"/>
      <c r="R292" s="2"/>
      <c r="S292" s="2"/>
      <c r="T292" s="2"/>
      <c r="U292" s="2"/>
      <c r="V292" s="2"/>
      <c r="W292" s="2"/>
      <c r="X292" s="2"/>
    </row>
    <row r="293" ht="15.75" customHeight="1">
      <c r="A293" s="1" t="s">
        <v>1947</v>
      </c>
      <c r="B293" s="48" t="s">
        <v>1948</v>
      </c>
      <c r="C293" s="7" t="s">
        <v>1949</v>
      </c>
      <c r="D293" s="2" t="s">
        <v>39</v>
      </c>
      <c r="E293" s="2" t="s">
        <v>1950</v>
      </c>
      <c r="F293" s="4" t="s">
        <v>19</v>
      </c>
      <c r="G293" s="4">
        <v>2019.0</v>
      </c>
      <c r="H293" s="1" t="s">
        <v>1951</v>
      </c>
      <c r="I293" s="2"/>
      <c r="J293" s="5" t="s">
        <v>1952</v>
      </c>
      <c r="K293" s="5" t="s">
        <v>1952</v>
      </c>
      <c r="L293" s="2" t="s">
        <v>24</v>
      </c>
      <c r="M293" s="1"/>
      <c r="N293" s="1"/>
      <c r="O293" s="7" t="s">
        <v>1953</v>
      </c>
      <c r="P293" s="2"/>
      <c r="Q293" s="2"/>
      <c r="R293" s="2"/>
      <c r="S293" s="2"/>
      <c r="T293" s="2"/>
      <c r="U293" s="2"/>
      <c r="V293" s="2"/>
      <c r="W293" s="2"/>
      <c r="X293" s="2"/>
    </row>
    <row r="294" ht="15.75" customHeight="1">
      <c r="A294" s="1" t="s">
        <v>1954</v>
      </c>
      <c r="B294" s="40" t="s">
        <v>1955</v>
      </c>
      <c r="C294" s="7" t="s">
        <v>1956</v>
      </c>
      <c r="D294" s="1" t="s">
        <v>152</v>
      </c>
      <c r="E294" s="2" t="s">
        <v>1957</v>
      </c>
      <c r="F294" s="4" t="s">
        <v>19</v>
      </c>
      <c r="G294" s="4">
        <v>2019.0</v>
      </c>
      <c r="H294" s="1" t="s">
        <v>1958</v>
      </c>
      <c r="I294" s="2"/>
      <c r="J294" s="5" t="s">
        <v>1959</v>
      </c>
      <c r="K294" s="14" t="s">
        <v>1960</v>
      </c>
      <c r="L294" s="2" t="s">
        <v>24</v>
      </c>
      <c r="M294" s="1"/>
      <c r="N294" s="1"/>
      <c r="O294" s="7" t="s">
        <v>1961</v>
      </c>
      <c r="P294" s="2"/>
      <c r="Q294" s="2"/>
      <c r="R294" s="2"/>
      <c r="S294" s="2"/>
      <c r="T294" s="2"/>
      <c r="U294" s="2"/>
      <c r="V294" s="2"/>
      <c r="W294" s="2"/>
      <c r="X294" s="2"/>
    </row>
    <row r="295" ht="15.75" customHeight="1">
      <c r="A295" s="1" t="s">
        <v>1962</v>
      </c>
      <c r="B295" s="6">
        <v>2.010502020121E12</v>
      </c>
      <c r="C295" s="7" t="str">
        <f>HYPERLINK("http://www.medical-f.com/","http://www.medical-f.com/")</f>
        <v>http://www.medical-f.com/</v>
      </c>
      <c r="D295" s="2" t="s">
        <v>567</v>
      </c>
      <c r="E295" s="2" t="s">
        <v>1963</v>
      </c>
      <c r="F295" s="4" t="s">
        <v>19</v>
      </c>
      <c r="G295" s="4">
        <v>2019.0</v>
      </c>
      <c r="H295" s="20" t="s">
        <v>1964</v>
      </c>
      <c r="I295" s="2"/>
      <c r="J295" s="5" t="s">
        <v>1965</v>
      </c>
      <c r="K295" s="14" t="s">
        <v>1965</v>
      </c>
      <c r="L295" s="2" t="s">
        <v>24</v>
      </c>
      <c r="M295" s="1"/>
      <c r="N295" s="1"/>
      <c r="O295" s="7" t="s">
        <v>1966</v>
      </c>
      <c r="P295" s="2"/>
      <c r="Q295" s="2"/>
      <c r="R295" s="2"/>
      <c r="S295" s="2"/>
      <c r="T295" s="2"/>
      <c r="U295" s="2"/>
      <c r="V295" s="2"/>
      <c r="W295" s="2"/>
      <c r="X295" s="2"/>
    </row>
    <row r="296" ht="15.75" customHeight="1">
      <c r="A296" s="1" t="s">
        <v>1967</v>
      </c>
      <c r="B296" s="2">
        <v>5.010501043871E12</v>
      </c>
      <c r="C296" s="7" t="s">
        <v>1968</v>
      </c>
      <c r="D296" s="2" t="s">
        <v>172</v>
      </c>
      <c r="E296" s="2" t="s">
        <v>172</v>
      </c>
      <c r="F296" s="4" t="s">
        <v>19</v>
      </c>
      <c r="G296" s="4">
        <v>2019.0</v>
      </c>
      <c r="H296" s="1" t="s">
        <v>1969</v>
      </c>
      <c r="I296" s="2" t="s">
        <v>93</v>
      </c>
      <c r="J296" s="5" t="s">
        <v>1970</v>
      </c>
      <c r="K296" s="14" t="s">
        <v>1971</v>
      </c>
      <c r="L296" s="2" t="s">
        <v>24</v>
      </c>
      <c r="M296" s="1"/>
      <c r="N296" s="1"/>
      <c r="O296" s="7" t="s">
        <v>1972</v>
      </c>
      <c r="P296" s="2"/>
      <c r="Q296" s="2"/>
      <c r="R296" s="2"/>
      <c r="S296" s="2"/>
      <c r="T296" s="2"/>
      <c r="U296" s="2"/>
      <c r="V296" s="2"/>
      <c r="W296" s="2"/>
      <c r="X296" s="2"/>
    </row>
    <row r="297" ht="15.75" customHeight="1">
      <c r="A297" s="1" t="s">
        <v>1973</v>
      </c>
      <c r="B297" s="2">
        <v>9.010901043682E12</v>
      </c>
      <c r="C297" s="7" t="s">
        <v>1974</v>
      </c>
      <c r="D297" s="1" t="s">
        <v>172</v>
      </c>
      <c r="E297" s="2" t="s">
        <v>1975</v>
      </c>
      <c r="F297" s="4" t="s">
        <v>19</v>
      </c>
      <c r="G297" s="4">
        <v>2019.0</v>
      </c>
      <c r="H297" s="1" t="s">
        <v>1976</v>
      </c>
      <c r="I297" s="2" t="s">
        <v>93</v>
      </c>
      <c r="J297" s="5" t="s">
        <v>1977</v>
      </c>
      <c r="K297" s="14" t="s">
        <v>1977</v>
      </c>
      <c r="L297" s="2" t="s">
        <v>24</v>
      </c>
      <c r="M297" s="1"/>
      <c r="N297" s="1"/>
      <c r="O297" s="7" t="s">
        <v>1978</v>
      </c>
      <c r="P297" s="2"/>
      <c r="Q297" s="2"/>
      <c r="R297" s="2"/>
      <c r="S297" s="2"/>
      <c r="T297" s="2"/>
      <c r="U297" s="2"/>
      <c r="V297" s="2"/>
      <c r="W297" s="2"/>
      <c r="X297" s="2"/>
    </row>
    <row r="298" ht="15.75" customHeight="1">
      <c r="A298" s="1" t="s">
        <v>1979</v>
      </c>
      <c r="B298" s="2">
        <v>7.011001126636E12</v>
      </c>
      <c r="C298" s="7" t="s">
        <v>1980</v>
      </c>
      <c r="D298" s="1" t="s">
        <v>144</v>
      </c>
      <c r="E298" s="14" t="s">
        <v>1981</v>
      </c>
      <c r="F298" s="4" t="s">
        <v>19</v>
      </c>
      <c r="G298" s="4">
        <v>2019.0</v>
      </c>
      <c r="H298" s="1" t="s">
        <v>1982</v>
      </c>
      <c r="I298" s="2"/>
      <c r="J298" s="5" t="s">
        <v>1983</v>
      </c>
      <c r="K298" s="20" t="s">
        <v>1983</v>
      </c>
      <c r="L298" s="2" t="s">
        <v>24</v>
      </c>
      <c r="M298" s="1"/>
      <c r="N298" s="1"/>
      <c r="O298" s="7" t="s">
        <v>1984</v>
      </c>
      <c r="P298" s="2"/>
      <c r="Q298" s="2"/>
      <c r="R298" s="2"/>
      <c r="S298" s="2"/>
      <c r="T298" s="2"/>
      <c r="U298" s="2"/>
      <c r="V298" s="2"/>
      <c r="W298" s="2"/>
      <c r="X298" s="2"/>
    </row>
    <row r="299" ht="15.75" customHeight="1">
      <c r="A299" s="1" t="s">
        <v>1985</v>
      </c>
      <c r="B299" s="2">
        <v>4.010401148978E12</v>
      </c>
      <c r="C299" s="7" t="s">
        <v>1986</v>
      </c>
      <c r="D299" s="1" t="s">
        <v>144</v>
      </c>
      <c r="E299" s="2" t="s">
        <v>1987</v>
      </c>
      <c r="F299" s="4" t="s">
        <v>19</v>
      </c>
      <c r="G299" s="4">
        <v>2019.0</v>
      </c>
      <c r="H299" s="1" t="s">
        <v>1988</v>
      </c>
      <c r="I299" s="2"/>
      <c r="J299" s="5" t="s">
        <v>1989</v>
      </c>
      <c r="K299" s="5" t="s">
        <v>1989</v>
      </c>
      <c r="L299" s="2" t="s">
        <v>24</v>
      </c>
      <c r="M299" s="1"/>
      <c r="N299" s="1"/>
      <c r="O299" s="7" t="s">
        <v>1990</v>
      </c>
      <c r="P299" s="2"/>
      <c r="Q299" s="2"/>
      <c r="R299" s="2"/>
      <c r="S299" s="2"/>
      <c r="T299" s="2"/>
      <c r="U299" s="2"/>
      <c r="V299" s="2"/>
      <c r="W299" s="2"/>
      <c r="X299" s="2"/>
    </row>
    <row r="300" ht="15.75" customHeight="1">
      <c r="A300" s="1" t="s">
        <v>1991</v>
      </c>
      <c r="B300" s="6">
        <v>7.290001086862E12</v>
      </c>
      <c r="C300" s="7" t="s">
        <v>1992</v>
      </c>
      <c r="D300" s="1" t="s">
        <v>144</v>
      </c>
      <c r="E300" s="2" t="s">
        <v>1993</v>
      </c>
      <c r="F300" s="4" t="s">
        <v>41</v>
      </c>
      <c r="G300" s="4">
        <v>2019.0</v>
      </c>
      <c r="H300" s="1" t="s">
        <v>1994</v>
      </c>
      <c r="I300" s="2"/>
      <c r="J300" s="5" t="s">
        <v>1995</v>
      </c>
      <c r="K300" s="14" t="s">
        <v>1995</v>
      </c>
      <c r="L300" s="2" t="s">
        <v>24</v>
      </c>
      <c r="M300" s="1"/>
      <c r="N300" s="1"/>
      <c r="O300" s="7" t="s">
        <v>1996</v>
      </c>
      <c r="P300" s="2"/>
      <c r="Q300" s="2"/>
      <c r="R300" s="2"/>
      <c r="S300" s="2"/>
      <c r="T300" s="2"/>
      <c r="U300" s="2"/>
      <c r="V300" s="2"/>
      <c r="W300" s="2"/>
      <c r="X300" s="2"/>
    </row>
    <row r="301" ht="15.75" customHeight="1">
      <c r="A301" s="1" t="s">
        <v>1997</v>
      </c>
      <c r="B301" s="6">
        <v>8.011101086498E12</v>
      </c>
      <c r="C301" s="7" t="s">
        <v>1998</v>
      </c>
      <c r="D301" s="1" t="s">
        <v>136</v>
      </c>
      <c r="E301" s="2" t="s">
        <v>1999</v>
      </c>
      <c r="F301" s="4" t="s">
        <v>19</v>
      </c>
      <c r="G301" s="4">
        <v>2019.0</v>
      </c>
      <c r="H301" s="1" t="s">
        <v>2000</v>
      </c>
      <c r="I301" s="2"/>
      <c r="J301" s="5" t="s">
        <v>2001</v>
      </c>
      <c r="K301" s="14" t="s">
        <v>2002</v>
      </c>
      <c r="L301" s="2" t="s">
        <v>24</v>
      </c>
      <c r="M301" s="1"/>
      <c r="N301" s="1"/>
      <c r="O301" s="7" t="s">
        <v>2003</v>
      </c>
      <c r="P301" s="2"/>
      <c r="Q301" s="2"/>
      <c r="R301" s="2"/>
      <c r="S301" s="2"/>
      <c r="T301" s="2"/>
      <c r="U301" s="2"/>
      <c r="V301" s="2"/>
      <c r="W301" s="2"/>
      <c r="X301" s="2"/>
    </row>
    <row r="302" ht="15.75" customHeight="1">
      <c r="A302" s="1" t="s">
        <v>2004</v>
      </c>
      <c r="B302" s="6">
        <v>1.011101083989E12</v>
      </c>
      <c r="C302" s="7" t="s">
        <v>2005</v>
      </c>
      <c r="D302" s="13" t="s">
        <v>48</v>
      </c>
      <c r="E302" s="2" t="s">
        <v>2006</v>
      </c>
      <c r="F302" s="4" t="s">
        <v>19</v>
      </c>
      <c r="G302" s="4">
        <v>2018.0</v>
      </c>
      <c r="H302" s="1" t="s">
        <v>937</v>
      </c>
      <c r="I302" s="2"/>
      <c r="J302" s="5" t="s">
        <v>2007</v>
      </c>
      <c r="K302" s="14" t="s">
        <v>2007</v>
      </c>
      <c r="L302" s="2" t="s">
        <v>24</v>
      </c>
      <c r="M302" s="1"/>
      <c r="N302" s="1"/>
      <c r="O302" s="7" t="s">
        <v>2008</v>
      </c>
      <c r="P302" s="2"/>
      <c r="Q302" s="2"/>
      <c r="R302" s="2"/>
      <c r="S302" s="2"/>
      <c r="T302" s="2"/>
      <c r="U302" s="2"/>
      <c r="V302" s="2"/>
      <c r="W302" s="2"/>
      <c r="X302" s="2"/>
    </row>
    <row r="303" ht="15.75" customHeight="1">
      <c r="A303" s="1" t="s">
        <v>2009</v>
      </c>
      <c r="B303" s="2">
        <v>5.011001127462E12</v>
      </c>
      <c r="C303" s="7" t="s">
        <v>2010</v>
      </c>
      <c r="D303" s="1" t="s">
        <v>116</v>
      </c>
      <c r="E303" s="2" t="s">
        <v>2011</v>
      </c>
      <c r="F303" s="4" t="s">
        <v>19</v>
      </c>
      <c r="G303" s="4">
        <v>2019.0</v>
      </c>
      <c r="H303" s="1" t="s">
        <v>2012</v>
      </c>
      <c r="I303" s="2"/>
      <c r="J303" s="5" t="s">
        <v>2013</v>
      </c>
      <c r="K303" s="14" t="s">
        <v>2013</v>
      </c>
      <c r="L303" s="2" t="s">
        <v>24</v>
      </c>
      <c r="M303" s="1"/>
      <c r="N303" s="1"/>
      <c r="O303" s="7" t="s">
        <v>2014</v>
      </c>
      <c r="P303" s="2"/>
      <c r="Q303" s="2"/>
      <c r="R303" s="2"/>
      <c r="S303" s="2"/>
      <c r="T303" s="2"/>
      <c r="U303" s="2"/>
      <c r="V303" s="2"/>
      <c r="W303" s="2"/>
      <c r="X303" s="2"/>
    </row>
    <row r="304" ht="15.75" customHeight="1">
      <c r="A304" s="1" t="s">
        <v>2015</v>
      </c>
      <c r="B304" s="2">
        <v>6.01100111653E12</v>
      </c>
      <c r="C304" s="7" t="s">
        <v>2016</v>
      </c>
      <c r="D304" s="1" t="s">
        <v>116</v>
      </c>
      <c r="E304" s="2" t="s">
        <v>2017</v>
      </c>
      <c r="F304" s="4" t="s">
        <v>19</v>
      </c>
      <c r="G304" s="4">
        <v>2017.0</v>
      </c>
      <c r="H304" s="1" t="s">
        <v>2018</v>
      </c>
      <c r="I304" s="2"/>
      <c r="J304" s="5" t="s">
        <v>2019</v>
      </c>
      <c r="K304" s="14" t="s">
        <v>2020</v>
      </c>
      <c r="L304" s="2" t="s">
        <v>24</v>
      </c>
      <c r="M304" s="1"/>
      <c r="N304" s="1"/>
      <c r="O304" s="7" t="s">
        <v>2021</v>
      </c>
      <c r="P304" s="2"/>
      <c r="Q304" s="2"/>
      <c r="R304" s="2"/>
      <c r="S304" s="2"/>
      <c r="T304" s="2"/>
      <c r="U304" s="2"/>
      <c r="V304" s="2"/>
      <c r="W304" s="2"/>
      <c r="X304" s="2"/>
    </row>
    <row r="305" ht="15.75" customHeight="1">
      <c r="A305" s="1" t="s">
        <v>2022</v>
      </c>
      <c r="B305" s="2">
        <v>4.010401148037E12</v>
      </c>
      <c r="C305" s="7" t="s">
        <v>2023</v>
      </c>
      <c r="D305" s="1" t="s">
        <v>266</v>
      </c>
      <c r="E305" s="2" t="s">
        <v>2024</v>
      </c>
      <c r="F305" s="4" t="s">
        <v>19</v>
      </c>
      <c r="G305" s="4">
        <v>2019.0</v>
      </c>
      <c r="H305" s="1" t="s">
        <v>2025</v>
      </c>
      <c r="I305" s="2"/>
      <c r="J305" s="5" t="s">
        <v>2026</v>
      </c>
      <c r="K305" s="14" t="s">
        <v>2027</v>
      </c>
      <c r="L305" s="2" t="s">
        <v>24</v>
      </c>
      <c r="M305" s="1"/>
      <c r="N305" s="1" t="s">
        <v>2026</v>
      </c>
      <c r="O305" s="7" t="s">
        <v>2028</v>
      </c>
      <c r="P305" s="2"/>
      <c r="Q305" s="2"/>
      <c r="R305" s="2"/>
      <c r="S305" s="2"/>
      <c r="T305" s="2"/>
      <c r="U305" s="2"/>
      <c r="V305" s="2"/>
      <c r="W305" s="2"/>
      <c r="X305" s="2"/>
    </row>
    <row r="306" ht="15.75" customHeight="1">
      <c r="A306" s="1" t="s">
        <v>2029</v>
      </c>
      <c r="B306" s="2">
        <v>2.011001133744E12</v>
      </c>
      <c r="C306" s="7" t="s">
        <v>2030</v>
      </c>
      <c r="D306" s="1" t="s">
        <v>179</v>
      </c>
      <c r="E306" s="2" t="s">
        <v>2031</v>
      </c>
      <c r="F306" s="4" t="s">
        <v>19</v>
      </c>
      <c r="G306" s="4">
        <v>2020.0</v>
      </c>
      <c r="H306" s="1" t="s">
        <v>2032</v>
      </c>
      <c r="I306" s="2"/>
      <c r="J306" s="5" t="s">
        <v>2033</v>
      </c>
      <c r="K306" s="14" t="s">
        <v>2034</v>
      </c>
      <c r="L306" s="2" t="s">
        <v>24</v>
      </c>
      <c r="M306" s="1" t="s">
        <v>2035</v>
      </c>
      <c r="N306" s="1"/>
      <c r="O306" s="7" t="s">
        <v>2036</v>
      </c>
      <c r="P306" s="2"/>
      <c r="Q306" s="2"/>
      <c r="R306" s="2"/>
      <c r="S306" s="2"/>
      <c r="T306" s="2"/>
      <c r="U306" s="2"/>
      <c r="V306" s="2"/>
      <c r="W306" s="2"/>
      <c r="X306" s="2"/>
    </row>
    <row r="307" ht="15.75" customHeight="1">
      <c r="A307" s="1" t="s">
        <v>2037</v>
      </c>
      <c r="B307" s="20">
        <v>3.011401022356E12</v>
      </c>
      <c r="C307" s="12" t="s">
        <v>2038</v>
      </c>
      <c r="D307" s="1" t="s">
        <v>56</v>
      </c>
      <c r="E307" s="2" t="s">
        <v>2039</v>
      </c>
      <c r="F307" s="4" t="s">
        <v>19</v>
      </c>
      <c r="G307" s="4">
        <v>2020.0</v>
      </c>
      <c r="H307" s="1" t="s">
        <v>2040</v>
      </c>
      <c r="I307" s="2"/>
      <c r="J307" s="5" t="s">
        <v>2041</v>
      </c>
      <c r="K307" s="5" t="s">
        <v>2041</v>
      </c>
      <c r="L307" s="2" t="s">
        <v>24</v>
      </c>
      <c r="M307" s="1"/>
      <c r="N307" s="1"/>
      <c r="O307" s="7" t="s">
        <v>2042</v>
      </c>
      <c r="P307" s="2"/>
      <c r="Q307" s="2"/>
      <c r="R307" s="2"/>
      <c r="S307" s="2"/>
      <c r="T307" s="2"/>
      <c r="U307" s="2"/>
      <c r="V307" s="2"/>
      <c r="W307" s="2"/>
      <c r="X307" s="2"/>
    </row>
    <row r="308" ht="15.75" customHeight="1">
      <c r="A308" s="1" t="s">
        <v>2043</v>
      </c>
      <c r="B308" s="6">
        <v>1.010901046395E12</v>
      </c>
      <c r="C308" s="7" t="s">
        <v>2044</v>
      </c>
      <c r="D308" s="1" t="s">
        <v>56</v>
      </c>
      <c r="E308" s="2" t="s">
        <v>2045</v>
      </c>
      <c r="F308" s="4" t="s">
        <v>19</v>
      </c>
      <c r="G308" s="4">
        <v>2020.0</v>
      </c>
      <c r="H308" s="1" t="s">
        <v>2046</v>
      </c>
      <c r="I308" s="2"/>
      <c r="J308" s="5" t="s">
        <v>2047</v>
      </c>
      <c r="K308" s="14" t="s">
        <v>2047</v>
      </c>
      <c r="L308" s="2" t="s">
        <v>24</v>
      </c>
      <c r="M308" s="1"/>
      <c r="N308" s="1"/>
      <c r="O308" s="7" t="s">
        <v>2048</v>
      </c>
      <c r="P308" s="2"/>
      <c r="Q308" s="2"/>
      <c r="R308" s="2"/>
      <c r="S308" s="2"/>
      <c r="T308" s="2"/>
      <c r="U308" s="2"/>
      <c r="V308" s="2"/>
      <c r="W308" s="2"/>
      <c r="X308" s="2"/>
    </row>
    <row r="309" ht="15.75" customHeight="1">
      <c r="A309" s="1" t="s">
        <v>2049</v>
      </c>
      <c r="B309" s="2">
        <v>3.010401147312E12</v>
      </c>
      <c r="C309" s="7" t="s">
        <v>2050</v>
      </c>
      <c r="D309" s="1" t="s">
        <v>144</v>
      </c>
      <c r="E309" s="2" t="s">
        <v>2051</v>
      </c>
      <c r="F309" s="4" t="s">
        <v>19</v>
      </c>
      <c r="G309" s="4">
        <v>2019.0</v>
      </c>
      <c r="H309" s="1" t="s">
        <v>2052</v>
      </c>
      <c r="I309" s="2"/>
      <c r="J309" s="5" t="s">
        <v>2053</v>
      </c>
      <c r="K309" s="14" t="s">
        <v>2053</v>
      </c>
      <c r="L309" s="2" t="s">
        <v>24</v>
      </c>
      <c r="M309" s="1"/>
      <c r="N309" s="1"/>
      <c r="O309" s="22" t="s">
        <v>2054</v>
      </c>
      <c r="P309" s="2"/>
      <c r="Q309" s="2"/>
      <c r="R309" s="2"/>
      <c r="S309" s="2"/>
      <c r="T309" s="2"/>
      <c r="U309" s="2"/>
      <c r="V309" s="2"/>
      <c r="W309" s="2"/>
      <c r="X309" s="2"/>
    </row>
    <row r="310" ht="15.75" customHeight="1">
      <c r="A310" s="1" t="s">
        <v>2055</v>
      </c>
      <c r="B310" s="6">
        <v>1.700150099389E12</v>
      </c>
      <c r="C310" s="7" t="s">
        <v>2056</v>
      </c>
      <c r="D310" s="1" t="s">
        <v>172</v>
      </c>
      <c r="E310" s="2" t="s">
        <v>2057</v>
      </c>
      <c r="F310" s="4" t="s">
        <v>19</v>
      </c>
      <c r="G310" s="4"/>
      <c r="H310" s="1" t="s">
        <v>2058</v>
      </c>
      <c r="I310" s="2"/>
      <c r="J310" s="5" t="s">
        <v>2059</v>
      </c>
      <c r="K310" s="5" t="s">
        <v>2059</v>
      </c>
      <c r="L310" s="2" t="s">
        <v>24</v>
      </c>
      <c r="M310" s="1"/>
      <c r="N310" s="1"/>
      <c r="O310" s="7" t="s">
        <v>2060</v>
      </c>
      <c r="P310" s="2"/>
      <c r="Q310" s="2"/>
      <c r="R310" s="2"/>
      <c r="S310" s="2"/>
      <c r="T310" s="2"/>
      <c r="U310" s="2"/>
      <c r="V310" s="2"/>
      <c r="W310" s="2"/>
      <c r="X310" s="2"/>
    </row>
    <row r="311" ht="15.75" customHeight="1">
      <c r="A311" s="1" t="s">
        <v>2061</v>
      </c>
      <c r="B311" s="6">
        <v>4.010701038383E12</v>
      </c>
      <c r="C311" s="7" t="s">
        <v>2062</v>
      </c>
      <c r="D311" s="1" t="s">
        <v>144</v>
      </c>
      <c r="E311" s="2" t="s">
        <v>2063</v>
      </c>
      <c r="F311" s="4" t="s">
        <v>19</v>
      </c>
      <c r="G311" s="4">
        <v>2019.0</v>
      </c>
      <c r="H311" s="1" t="s">
        <v>2064</v>
      </c>
      <c r="I311" s="2"/>
      <c r="J311" s="5"/>
      <c r="K311" s="14" t="s">
        <v>2065</v>
      </c>
      <c r="L311" s="2" t="s">
        <v>24</v>
      </c>
      <c r="M311" s="1"/>
      <c r="N311" s="1"/>
      <c r="O311" s="7" t="s">
        <v>2066</v>
      </c>
      <c r="P311" s="2"/>
      <c r="Q311" s="2"/>
      <c r="R311" s="2"/>
      <c r="S311" s="2"/>
      <c r="T311" s="2"/>
      <c r="U311" s="2"/>
      <c r="V311" s="2"/>
      <c r="W311" s="2"/>
      <c r="X311" s="2"/>
    </row>
    <row r="312" ht="15.75" customHeight="1">
      <c r="A312" s="1" t="s">
        <v>2067</v>
      </c>
      <c r="B312" s="6">
        <v>3.010401151454E12</v>
      </c>
      <c r="C312" s="7" t="s">
        <v>2068</v>
      </c>
      <c r="D312" s="1" t="s">
        <v>144</v>
      </c>
      <c r="E312" s="2" t="s">
        <v>2069</v>
      </c>
      <c r="F312" s="4" t="s">
        <v>19</v>
      </c>
      <c r="G312" s="4"/>
      <c r="H312" s="1" t="s">
        <v>2070</v>
      </c>
      <c r="I312" s="2"/>
      <c r="J312" s="5"/>
      <c r="K312" s="9"/>
      <c r="L312" s="2" t="s">
        <v>24</v>
      </c>
      <c r="M312" s="1"/>
      <c r="N312" s="1"/>
      <c r="O312" s="7" t="s">
        <v>2071</v>
      </c>
      <c r="P312" s="2"/>
      <c r="Q312" s="2"/>
      <c r="R312" s="2"/>
      <c r="S312" s="2"/>
      <c r="T312" s="2"/>
      <c r="U312" s="2"/>
      <c r="V312" s="2"/>
      <c r="W312" s="2"/>
      <c r="X312" s="2"/>
    </row>
    <row r="313" ht="15.75" customHeight="1">
      <c r="A313" s="1" t="s">
        <v>2072</v>
      </c>
      <c r="B313" s="6">
        <v>9.010901042115E12</v>
      </c>
      <c r="C313" s="7" t="s">
        <v>2073</v>
      </c>
      <c r="D313" s="1" t="s">
        <v>144</v>
      </c>
      <c r="E313" s="2" t="s">
        <v>2074</v>
      </c>
      <c r="F313" s="4" t="s">
        <v>19</v>
      </c>
      <c r="G313" s="4"/>
      <c r="H313" s="1" t="s">
        <v>2075</v>
      </c>
      <c r="I313" s="2"/>
      <c r="J313" s="5"/>
      <c r="K313" s="9"/>
      <c r="L313" s="2" t="s">
        <v>24</v>
      </c>
      <c r="M313" s="1"/>
      <c r="N313" s="1"/>
      <c r="O313" s="7" t="s">
        <v>2076</v>
      </c>
      <c r="P313" s="2"/>
      <c r="Q313" s="2"/>
      <c r="R313" s="2"/>
      <c r="S313" s="2"/>
      <c r="T313" s="2"/>
      <c r="U313" s="2"/>
      <c r="V313" s="2"/>
      <c r="W313" s="2"/>
      <c r="X313" s="2"/>
    </row>
    <row r="314" ht="15.75" customHeight="1">
      <c r="A314" s="1" t="s">
        <v>2077</v>
      </c>
      <c r="B314" s="6">
        <v>4.040001102829E12</v>
      </c>
      <c r="C314" s="7" t="s">
        <v>2078</v>
      </c>
      <c r="D314" s="1" t="s">
        <v>136</v>
      </c>
      <c r="E314" s="2" t="s">
        <v>2079</v>
      </c>
      <c r="F314" s="4" t="s">
        <v>19</v>
      </c>
      <c r="G314" s="4">
        <v>2017.0</v>
      </c>
      <c r="H314" s="1" t="s">
        <v>2080</v>
      </c>
      <c r="I314" s="2"/>
      <c r="J314" s="5" t="s">
        <v>2081</v>
      </c>
      <c r="K314" s="9"/>
      <c r="L314" s="2" t="s">
        <v>24</v>
      </c>
      <c r="M314" s="1"/>
      <c r="N314" s="1"/>
      <c r="O314" s="7" t="s">
        <v>2082</v>
      </c>
      <c r="P314" s="2"/>
      <c r="Q314" s="2"/>
      <c r="R314" s="2"/>
      <c r="S314" s="2"/>
      <c r="T314" s="2"/>
      <c r="U314" s="2"/>
      <c r="V314" s="2"/>
      <c r="W314" s="2"/>
      <c r="X314" s="2"/>
    </row>
    <row r="315" ht="15.75" customHeight="1">
      <c r="A315" s="1" t="s">
        <v>2083</v>
      </c>
      <c r="B315" s="2">
        <v>6.010001199148E12</v>
      </c>
      <c r="C315" s="7" t="s">
        <v>2084</v>
      </c>
      <c r="D315" s="1" t="s">
        <v>56</v>
      </c>
      <c r="E315" s="2" t="s">
        <v>2085</v>
      </c>
      <c r="F315" s="8" t="s">
        <v>19</v>
      </c>
      <c r="G315" s="4">
        <v>2019.0</v>
      </c>
      <c r="H315" s="1" t="s">
        <v>2086</v>
      </c>
      <c r="I315" s="2"/>
      <c r="J315" s="5" t="s">
        <v>2087</v>
      </c>
      <c r="K315" s="5" t="s">
        <v>2087</v>
      </c>
      <c r="L315" s="2" t="s">
        <v>24</v>
      </c>
      <c r="M315" s="1"/>
      <c r="N315" s="1"/>
      <c r="O315" s="22" t="s">
        <v>2088</v>
      </c>
      <c r="P315" s="2"/>
      <c r="Q315" s="2"/>
      <c r="R315" s="2"/>
      <c r="S315" s="2"/>
      <c r="T315" s="2"/>
      <c r="U315" s="2"/>
      <c r="V315" s="2"/>
      <c r="W315" s="2"/>
      <c r="X315" s="2"/>
    </row>
    <row r="316" ht="15.75" customHeight="1">
      <c r="A316" s="1" t="s">
        <v>2089</v>
      </c>
      <c r="B316" s="2">
        <v>1.011101077702E12</v>
      </c>
      <c r="C316" s="7" t="s">
        <v>2090</v>
      </c>
      <c r="D316" s="1" t="s">
        <v>39</v>
      </c>
      <c r="E316" s="2" t="s">
        <v>2091</v>
      </c>
      <c r="F316" s="4" t="s">
        <v>19</v>
      </c>
      <c r="G316" s="4">
        <v>2016.0</v>
      </c>
      <c r="H316" s="1" t="s">
        <v>2092</v>
      </c>
      <c r="I316" s="2"/>
      <c r="J316" s="14" t="s">
        <v>2093</v>
      </c>
      <c r="K316" s="14" t="s">
        <v>2093</v>
      </c>
      <c r="L316" s="2" t="s">
        <v>24</v>
      </c>
      <c r="M316" s="1"/>
      <c r="N316" s="1"/>
      <c r="O316" s="7" t="s">
        <v>2094</v>
      </c>
      <c r="P316" s="2"/>
      <c r="Q316" s="2"/>
      <c r="R316" s="2"/>
      <c r="S316" s="2"/>
      <c r="T316" s="2"/>
      <c r="U316" s="2"/>
      <c r="V316" s="2"/>
      <c r="W316" s="2"/>
      <c r="X316" s="2"/>
    </row>
    <row r="317" ht="15.75" customHeight="1">
      <c r="A317" s="1" t="s">
        <v>2095</v>
      </c>
      <c r="B317" s="2">
        <v>3.080401024001E12</v>
      </c>
      <c r="C317" s="7" t="s">
        <v>2096</v>
      </c>
      <c r="D317" s="1" t="s">
        <v>90</v>
      </c>
      <c r="E317" s="2" t="s">
        <v>2097</v>
      </c>
      <c r="F317" s="4" t="s">
        <v>19</v>
      </c>
      <c r="G317" s="4">
        <v>2019.0</v>
      </c>
      <c r="H317" s="1" t="s">
        <v>2098</v>
      </c>
      <c r="I317" s="2"/>
      <c r="J317" s="5" t="s">
        <v>2099</v>
      </c>
      <c r="K317" s="5" t="s">
        <v>2099</v>
      </c>
      <c r="L317" s="2" t="s">
        <v>24</v>
      </c>
      <c r="M317" s="1"/>
      <c r="N317" s="1"/>
      <c r="O317" s="7" t="s">
        <v>2100</v>
      </c>
      <c r="P317" s="2"/>
      <c r="Q317" s="2"/>
      <c r="R317" s="2"/>
      <c r="S317" s="2"/>
      <c r="T317" s="2"/>
      <c r="U317" s="2"/>
      <c r="V317" s="2"/>
      <c r="W317" s="2"/>
      <c r="X317" s="2"/>
    </row>
    <row r="318" ht="15.75" customHeight="1">
      <c r="A318" s="1" t="s">
        <v>2101</v>
      </c>
      <c r="B318" s="2">
        <v>2.010901038516E12</v>
      </c>
      <c r="C318" s="7" t="s">
        <v>2102</v>
      </c>
      <c r="D318" s="1" t="s">
        <v>136</v>
      </c>
      <c r="E318" s="2" t="s">
        <v>2103</v>
      </c>
      <c r="F318" s="4" t="s">
        <v>19</v>
      </c>
      <c r="G318" s="4">
        <v>2016.0</v>
      </c>
      <c r="H318" s="1" t="s">
        <v>2104</v>
      </c>
      <c r="I318" s="2"/>
      <c r="J318" s="5" t="s">
        <v>2105</v>
      </c>
      <c r="K318" s="5" t="s">
        <v>2105</v>
      </c>
      <c r="L318" s="2" t="s">
        <v>24</v>
      </c>
      <c r="M318" s="1"/>
      <c r="N318" s="1"/>
      <c r="O318" s="7" t="s">
        <v>2106</v>
      </c>
      <c r="P318" s="2"/>
      <c r="Q318" s="2"/>
      <c r="R318" s="2"/>
      <c r="S318" s="2"/>
      <c r="T318" s="2"/>
      <c r="U318" s="2"/>
      <c r="V318" s="2"/>
      <c r="W318" s="2"/>
      <c r="X318" s="2"/>
    </row>
    <row r="319" ht="15.75" customHeight="1">
      <c r="A319" s="1" t="s">
        <v>2107</v>
      </c>
      <c r="B319" s="2">
        <v>8.18000113435E12</v>
      </c>
      <c r="C319" s="7" t="s">
        <v>2108</v>
      </c>
      <c r="D319" s="1" t="s">
        <v>39</v>
      </c>
      <c r="E319" s="2" t="s">
        <v>2109</v>
      </c>
      <c r="F319" s="4" t="s">
        <v>569</v>
      </c>
      <c r="G319" s="4"/>
      <c r="H319" s="1" t="s">
        <v>2110</v>
      </c>
      <c r="I319" s="2"/>
      <c r="J319" s="5" t="s">
        <v>2111</v>
      </c>
      <c r="K319" s="14" t="s">
        <v>2111</v>
      </c>
      <c r="L319" s="2" t="s">
        <v>24</v>
      </c>
      <c r="M319" s="1"/>
      <c r="N319" s="1"/>
      <c r="O319" s="7" t="s">
        <v>2112</v>
      </c>
      <c r="P319" s="2"/>
      <c r="Q319" s="2"/>
      <c r="R319" s="2"/>
      <c r="S319" s="2"/>
      <c r="T319" s="2"/>
      <c r="U319" s="2"/>
      <c r="V319" s="2"/>
      <c r="W319" s="2"/>
      <c r="X319" s="2"/>
    </row>
    <row r="320" ht="15.75" customHeight="1">
      <c r="A320" s="1" t="s">
        <v>2113</v>
      </c>
      <c r="B320" s="6">
        <v>7.011101090575E12</v>
      </c>
      <c r="C320" s="7" t="s">
        <v>2114</v>
      </c>
      <c r="D320" s="1" t="s">
        <v>187</v>
      </c>
      <c r="E320" s="2" t="s">
        <v>2115</v>
      </c>
      <c r="F320" s="4" t="s">
        <v>19</v>
      </c>
      <c r="G320" s="4"/>
      <c r="H320" s="1" t="s">
        <v>2116</v>
      </c>
      <c r="I320" s="2"/>
      <c r="J320" s="5" t="s">
        <v>2117</v>
      </c>
      <c r="K320" s="5" t="s">
        <v>2117</v>
      </c>
      <c r="L320" s="2" t="s">
        <v>24</v>
      </c>
      <c r="M320" s="1"/>
      <c r="N320" s="1"/>
      <c r="O320" s="7" t="s">
        <v>2118</v>
      </c>
      <c r="P320" s="2"/>
      <c r="Q320" s="2"/>
      <c r="R320" s="2"/>
      <c r="S320" s="2"/>
      <c r="T320" s="2"/>
      <c r="U320" s="2"/>
      <c r="V320" s="2"/>
      <c r="W320" s="2"/>
      <c r="X320" s="2"/>
    </row>
    <row r="321" ht="15.75" customHeight="1">
      <c r="A321" s="1" t="s">
        <v>2119</v>
      </c>
      <c r="B321" s="2">
        <v>8.080401023865E12</v>
      </c>
      <c r="C321" s="7" t="s">
        <v>2120</v>
      </c>
      <c r="D321" s="1" t="s">
        <v>179</v>
      </c>
      <c r="E321" s="2" t="s">
        <v>2121</v>
      </c>
      <c r="F321" s="4" t="s">
        <v>463</v>
      </c>
      <c r="G321" s="4"/>
      <c r="H321" s="1" t="s">
        <v>2122</v>
      </c>
      <c r="I321" s="2"/>
      <c r="J321" s="5" t="s">
        <v>2123</v>
      </c>
      <c r="K321" s="14" t="s">
        <v>2124</v>
      </c>
      <c r="L321" s="2" t="s">
        <v>24</v>
      </c>
      <c r="M321" s="1"/>
      <c r="N321" s="1"/>
      <c r="O321" s="7" t="s">
        <v>2125</v>
      </c>
      <c r="P321" s="2"/>
      <c r="Q321" s="2"/>
      <c r="R321" s="2"/>
      <c r="S321" s="2"/>
      <c r="T321" s="2"/>
      <c r="U321" s="2"/>
      <c r="V321" s="2"/>
      <c r="W321" s="2"/>
      <c r="X321" s="2"/>
    </row>
    <row r="322" ht="15.75" customHeight="1">
      <c r="A322" s="1" t="s">
        <v>2126</v>
      </c>
      <c r="B322" s="6">
        <v>9.040001104713E12</v>
      </c>
      <c r="C322" s="7" t="s">
        <v>2127</v>
      </c>
      <c r="D322" s="13" t="s">
        <v>2128</v>
      </c>
      <c r="E322" s="2" t="s">
        <v>2129</v>
      </c>
      <c r="F322" s="4" t="s">
        <v>19</v>
      </c>
      <c r="G322" s="4">
        <v>2018.0</v>
      </c>
      <c r="H322" s="1" t="s">
        <v>2130</v>
      </c>
      <c r="I322" s="2"/>
      <c r="J322" s="5" t="s">
        <v>2131</v>
      </c>
      <c r="K322" s="14" t="s">
        <v>2131</v>
      </c>
      <c r="L322" s="2" t="s">
        <v>24</v>
      </c>
      <c r="M322" s="1"/>
      <c r="N322" s="1"/>
      <c r="O322" s="7" t="s">
        <v>2132</v>
      </c>
      <c r="P322" s="2"/>
      <c r="Q322" s="2"/>
      <c r="R322" s="2"/>
      <c r="S322" s="2"/>
      <c r="T322" s="2"/>
      <c r="U322" s="2"/>
      <c r="V322" s="2"/>
      <c r="W322" s="2"/>
      <c r="X322" s="2"/>
    </row>
    <row r="323" ht="15.75" customHeight="1">
      <c r="A323" s="1" t="s">
        <v>2133</v>
      </c>
      <c r="B323" s="2">
        <v>5.010001200758E12</v>
      </c>
      <c r="C323" s="7" t="s">
        <v>2134</v>
      </c>
      <c r="D323" s="13" t="s">
        <v>2135</v>
      </c>
      <c r="E323" s="2" t="s">
        <v>2136</v>
      </c>
      <c r="F323" s="4" t="s">
        <v>19</v>
      </c>
      <c r="G323" s="4">
        <v>2019.0</v>
      </c>
      <c r="H323" s="1" t="s">
        <v>2137</v>
      </c>
      <c r="I323" s="2"/>
      <c r="J323" s="5" t="s">
        <v>2138</v>
      </c>
      <c r="K323" s="14" t="s">
        <v>2138</v>
      </c>
      <c r="L323" s="2" t="s">
        <v>24</v>
      </c>
      <c r="M323" s="1"/>
      <c r="N323" s="1"/>
      <c r="O323" s="7" t="s">
        <v>2139</v>
      </c>
      <c r="P323" s="2"/>
      <c r="Q323" s="2"/>
      <c r="R323" s="2"/>
      <c r="S323" s="2"/>
      <c r="T323" s="2"/>
      <c r="U323" s="2"/>
      <c r="V323" s="2"/>
      <c r="W323" s="2"/>
      <c r="X323" s="2"/>
    </row>
    <row r="324" ht="15.75" customHeight="1">
      <c r="A324" s="1" t="s">
        <v>2140</v>
      </c>
      <c r="B324" s="2">
        <v>4.010401103256E12</v>
      </c>
      <c r="C324" s="7" t="s">
        <v>2141</v>
      </c>
      <c r="D324" s="1" t="s">
        <v>2142</v>
      </c>
      <c r="E324" s="2" t="s">
        <v>2143</v>
      </c>
      <c r="F324" s="4" t="s">
        <v>19</v>
      </c>
      <c r="G324" s="4">
        <v>2012.0</v>
      </c>
      <c r="H324" s="1" t="s">
        <v>704</v>
      </c>
      <c r="I324" s="2"/>
      <c r="J324" s="5" t="s">
        <v>705</v>
      </c>
      <c r="K324" s="5" t="s">
        <v>705</v>
      </c>
      <c r="L324" s="2" t="s">
        <v>24</v>
      </c>
      <c r="M324" s="1"/>
      <c r="N324" s="1"/>
      <c r="O324" s="7" t="s">
        <v>706</v>
      </c>
      <c r="P324" s="2"/>
      <c r="Q324" s="2"/>
      <c r="R324" s="2"/>
      <c r="S324" s="2"/>
      <c r="T324" s="2"/>
      <c r="U324" s="2"/>
      <c r="V324" s="2"/>
      <c r="W324" s="2"/>
      <c r="X324" s="2"/>
    </row>
    <row r="325" ht="15.75" customHeight="1">
      <c r="A325" s="1" t="s">
        <v>2144</v>
      </c>
      <c r="B325" s="2">
        <v>1.120001131112E12</v>
      </c>
      <c r="C325" s="7" t="s">
        <v>2145</v>
      </c>
      <c r="D325" s="1" t="s">
        <v>56</v>
      </c>
      <c r="E325" s="70" t="s">
        <v>2146</v>
      </c>
      <c r="F325" s="4" t="s">
        <v>58</v>
      </c>
      <c r="G325" s="4">
        <v>2008.0</v>
      </c>
      <c r="H325" s="1" t="s">
        <v>2147</v>
      </c>
      <c r="I325" s="2"/>
      <c r="J325" s="5" t="s">
        <v>2148</v>
      </c>
      <c r="K325" s="14" t="s">
        <v>2148</v>
      </c>
      <c r="L325" s="2" t="s">
        <v>24</v>
      </c>
      <c r="M325" s="1"/>
      <c r="N325" s="1"/>
      <c r="O325" s="7" t="s">
        <v>2149</v>
      </c>
      <c r="P325" s="2"/>
      <c r="Q325" s="2"/>
      <c r="R325" s="2"/>
      <c r="S325" s="2"/>
      <c r="T325" s="2"/>
      <c r="U325" s="2"/>
      <c r="V325" s="2"/>
      <c r="W325" s="2"/>
      <c r="X325" s="2"/>
    </row>
    <row r="326" ht="15.75" customHeight="1">
      <c r="A326" s="1" t="s">
        <v>2150</v>
      </c>
      <c r="B326" s="2">
        <v>4.130001055704E12</v>
      </c>
      <c r="C326" s="7" t="s">
        <v>2151</v>
      </c>
      <c r="D326" s="13" t="s">
        <v>48</v>
      </c>
      <c r="E326" s="2" t="s">
        <v>2152</v>
      </c>
      <c r="F326" s="4" t="s">
        <v>499</v>
      </c>
      <c r="G326" s="4">
        <v>2015.0</v>
      </c>
      <c r="H326" s="1" t="s">
        <v>2153</v>
      </c>
      <c r="I326" s="2"/>
      <c r="J326" s="5" t="s">
        <v>2154</v>
      </c>
      <c r="K326" s="14" t="s">
        <v>2154</v>
      </c>
      <c r="L326" s="2" t="s">
        <v>24</v>
      </c>
      <c r="M326" s="1"/>
      <c r="N326" s="1"/>
      <c r="O326" s="7" t="s">
        <v>2155</v>
      </c>
      <c r="P326" s="2"/>
      <c r="Q326" s="2"/>
      <c r="R326" s="2"/>
      <c r="S326" s="2"/>
      <c r="T326" s="2"/>
      <c r="U326" s="2"/>
      <c r="V326" s="2"/>
      <c r="W326" s="2"/>
      <c r="X326" s="2"/>
    </row>
    <row r="327" ht="15.75" customHeight="1">
      <c r="A327" s="1" t="s">
        <v>2156</v>
      </c>
      <c r="B327" s="2">
        <v>2.011201020908E12</v>
      </c>
      <c r="C327" s="7" t="s">
        <v>2157</v>
      </c>
      <c r="D327" s="1" t="s">
        <v>17</v>
      </c>
      <c r="E327" s="2" t="s">
        <v>2158</v>
      </c>
      <c r="F327" s="4" t="s">
        <v>19</v>
      </c>
      <c r="G327" s="4">
        <v>2018.0</v>
      </c>
      <c r="H327" s="1" t="s">
        <v>2159</v>
      </c>
      <c r="I327" s="2"/>
      <c r="J327" s="5" t="s">
        <v>2160</v>
      </c>
      <c r="K327" s="5" t="s">
        <v>2160</v>
      </c>
      <c r="L327" s="2" t="s">
        <v>24</v>
      </c>
      <c r="M327" s="1"/>
      <c r="N327" s="1"/>
      <c r="O327" s="7" t="s">
        <v>2161</v>
      </c>
      <c r="P327" s="2"/>
      <c r="Q327" s="2"/>
      <c r="R327" s="2"/>
      <c r="S327" s="2"/>
      <c r="T327" s="2"/>
      <c r="U327" s="2"/>
      <c r="V327" s="2"/>
      <c r="W327" s="2"/>
      <c r="X327" s="2"/>
    </row>
    <row r="328" ht="15.75" customHeight="1">
      <c r="A328" s="1" t="s">
        <v>2162</v>
      </c>
      <c r="B328" s="2">
        <v>3.010001170912E12</v>
      </c>
      <c r="C328" s="7" t="s">
        <v>2163</v>
      </c>
      <c r="D328" s="1" t="s">
        <v>56</v>
      </c>
      <c r="E328" s="2" t="s">
        <v>2164</v>
      </c>
      <c r="F328" s="4" t="s">
        <v>19</v>
      </c>
      <c r="G328" s="4">
        <v>2015.0</v>
      </c>
      <c r="H328" s="1" t="s">
        <v>2165</v>
      </c>
      <c r="I328" s="2" t="s">
        <v>147</v>
      </c>
      <c r="J328" s="5" t="s">
        <v>2166</v>
      </c>
      <c r="K328" s="14" t="s">
        <v>2166</v>
      </c>
      <c r="L328" s="2" t="s">
        <v>24</v>
      </c>
      <c r="M328" s="1"/>
      <c r="N328" s="1"/>
      <c r="O328" s="7" t="s">
        <v>2167</v>
      </c>
      <c r="P328" s="2"/>
      <c r="Q328" s="2"/>
      <c r="R328" s="2"/>
      <c r="S328" s="2"/>
      <c r="T328" s="2"/>
      <c r="U328" s="2"/>
      <c r="V328" s="2"/>
      <c r="W328" s="2"/>
      <c r="X328" s="2"/>
    </row>
    <row r="329" ht="24.0" customHeight="1">
      <c r="A329" s="13" t="s">
        <v>2168</v>
      </c>
      <c r="B329" s="2">
        <v>3.0111010884E12</v>
      </c>
      <c r="C329" s="7" t="s">
        <v>2169</v>
      </c>
      <c r="D329" s="1" t="s">
        <v>136</v>
      </c>
      <c r="E329" s="2" t="s">
        <v>2170</v>
      </c>
      <c r="F329" s="4" t="s">
        <v>19</v>
      </c>
      <c r="G329" s="4">
        <v>2019.0</v>
      </c>
      <c r="H329" s="1" t="s">
        <v>2171</v>
      </c>
      <c r="I329" s="2"/>
      <c r="J329" s="5" t="s">
        <v>2172</v>
      </c>
      <c r="K329" s="5" t="s">
        <v>2172</v>
      </c>
      <c r="L329" s="2" t="s">
        <v>24</v>
      </c>
      <c r="M329" s="1"/>
      <c r="N329" s="1"/>
      <c r="O329" s="7" t="s">
        <v>2173</v>
      </c>
      <c r="P329" s="2"/>
      <c r="Q329" s="2"/>
      <c r="R329" s="2"/>
      <c r="S329" s="2"/>
      <c r="T329" s="2"/>
      <c r="U329" s="2"/>
      <c r="V329" s="2"/>
      <c r="W329" s="2"/>
      <c r="X329" s="2"/>
    </row>
    <row r="330" ht="15.75" customHeight="1">
      <c r="A330" s="1" t="s">
        <v>2174</v>
      </c>
      <c r="B330" s="6">
        <v>6.02000113153E12</v>
      </c>
      <c r="C330" s="7" t="s">
        <v>2175</v>
      </c>
      <c r="D330" s="1" t="s">
        <v>179</v>
      </c>
      <c r="E330" s="2" t="s">
        <v>2176</v>
      </c>
      <c r="F330" s="4" t="s">
        <v>355</v>
      </c>
      <c r="G330" s="8">
        <v>2019.0</v>
      </c>
      <c r="H330" s="1" t="s">
        <v>2177</v>
      </c>
      <c r="I330" s="2"/>
      <c r="J330" s="5"/>
      <c r="K330" s="14" t="s">
        <v>2178</v>
      </c>
      <c r="L330" s="2" t="s">
        <v>24</v>
      </c>
      <c r="M330" s="1"/>
      <c r="N330" s="1" t="s">
        <v>2179</v>
      </c>
      <c r="O330" s="7" t="s">
        <v>2180</v>
      </c>
      <c r="P330" s="2"/>
      <c r="Q330" s="2"/>
      <c r="R330" s="2"/>
      <c r="S330" s="2"/>
      <c r="T330" s="2"/>
      <c r="U330" s="2"/>
      <c r="V330" s="2"/>
      <c r="W330" s="2"/>
      <c r="X330" s="2"/>
    </row>
    <row r="331" ht="15.75" customHeight="1">
      <c r="A331" s="1" t="s">
        <v>2181</v>
      </c>
      <c r="B331" s="2">
        <v>8.010001145166E12</v>
      </c>
      <c r="C331" s="7" t="s">
        <v>2182</v>
      </c>
      <c r="D331" s="13" t="s">
        <v>48</v>
      </c>
      <c r="E331" s="2" t="s">
        <v>2183</v>
      </c>
      <c r="F331" s="4" t="s">
        <v>355</v>
      </c>
      <c r="G331" s="4">
        <v>2012.0</v>
      </c>
      <c r="H331" s="1" t="s">
        <v>2184</v>
      </c>
      <c r="I331" s="2"/>
      <c r="J331" s="5" t="s">
        <v>2185</v>
      </c>
      <c r="K331" s="14" t="s">
        <v>2185</v>
      </c>
      <c r="L331" s="2" t="s">
        <v>24</v>
      </c>
      <c r="M331" s="1"/>
      <c r="N331" s="1"/>
      <c r="O331" s="7" t="s">
        <v>2186</v>
      </c>
      <c r="P331" s="2"/>
      <c r="Q331" s="2"/>
      <c r="R331" s="2"/>
      <c r="S331" s="2"/>
      <c r="T331" s="2"/>
      <c r="U331" s="2"/>
      <c r="V331" s="2"/>
      <c r="W331" s="2"/>
      <c r="X331" s="2"/>
    </row>
    <row r="332" ht="15.75" customHeight="1">
      <c r="A332" s="71" t="s">
        <v>2187</v>
      </c>
      <c r="B332" s="72">
        <v>4.36000300607E12</v>
      </c>
      <c r="C332" s="73" t="s">
        <v>2188</v>
      </c>
      <c r="D332" s="13" t="s">
        <v>48</v>
      </c>
      <c r="E332" s="72" t="s">
        <v>2189</v>
      </c>
      <c r="F332" s="74" t="s">
        <v>19</v>
      </c>
      <c r="G332" s="74"/>
      <c r="H332" s="71" t="s">
        <v>2190</v>
      </c>
      <c r="I332" s="72" t="s">
        <v>147</v>
      </c>
      <c r="J332" s="36" t="s">
        <v>2191</v>
      </c>
      <c r="K332" s="36" t="s">
        <v>2191</v>
      </c>
      <c r="L332" s="72" t="s">
        <v>24</v>
      </c>
      <c r="M332" s="71" t="s">
        <v>2192</v>
      </c>
      <c r="N332" s="1"/>
      <c r="O332" s="73" t="s">
        <v>2193</v>
      </c>
      <c r="P332" s="2"/>
      <c r="Q332" s="72"/>
      <c r="R332" s="72"/>
      <c r="S332" s="72"/>
      <c r="T332" s="72"/>
      <c r="U332" s="72"/>
      <c r="V332" s="72"/>
      <c r="W332" s="72"/>
      <c r="X332" s="72"/>
    </row>
    <row r="333" ht="15.75" customHeight="1">
      <c r="A333" s="75" t="s">
        <v>2194</v>
      </c>
      <c r="B333" s="76">
        <v>1.010001193535E12</v>
      </c>
      <c r="C333" s="77" t="s">
        <v>2195</v>
      </c>
      <c r="D333" s="75" t="s">
        <v>116</v>
      </c>
      <c r="E333" s="76" t="s">
        <v>2196</v>
      </c>
      <c r="F333" s="78" t="s">
        <v>19</v>
      </c>
      <c r="G333" s="78">
        <v>2018.0</v>
      </c>
      <c r="H333" s="75" t="s">
        <v>2197</v>
      </c>
      <c r="I333" s="2"/>
      <c r="J333" s="79" t="s">
        <v>2198</v>
      </c>
      <c r="K333" s="80"/>
      <c r="L333" s="76" t="s">
        <v>24</v>
      </c>
      <c r="M333" s="1"/>
      <c r="N333" s="1"/>
      <c r="O333" s="77" t="s">
        <v>2199</v>
      </c>
      <c r="P333" s="2"/>
      <c r="Q333" s="76"/>
      <c r="R333" s="76"/>
      <c r="S333" s="76"/>
      <c r="T333" s="76"/>
      <c r="U333" s="76"/>
      <c r="V333" s="76"/>
      <c r="W333" s="76"/>
      <c r="X333" s="76"/>
    </row>
    <row r="334" ht="15.75" customHeight="1">
      <c r="A334" s="1" t="s">
        <v>2200</v>
      </c>
      <c r="B334" s="2">
        <v>1.01090104029E12</v>
      </c>
      <c r="C334" s="7" t="s">
        <v>2201</v>
      </c>
      <c r="D334" s="1" t="s">
        <v>425</v>
      </c>
      <c r="E334" s="2" t="s">
        <v>2202</v>
      </c>
      <c r="F334" s="4" t="s">
        <v>19</v>
      </c>
      <c r="G334" s="4">
        <v>2017.0</v>
      </c>
      <c r="H334" s="1" t="s">
        <v>2203</v>
      </c>
      <c r="I334" s="2" t="s">
        <v>93</v>
      </c>
      <c r="J334" s="5"/>
      <c r="K334" s="14" t="s">
        <v>2204</v>
      </c>
      <c r="L334" s="2" t="s">
        <v>24</v>
      </c>
      <c r="M334" s="1"/>
      <c r="N334" s="1"/>
      <c r="O334" s="7" t="s">
        <v>2205</v>
      </c>
      <c r="P334" s="2"/>
      <c r="Q334" s="2"/>
      <c r="R334" s="2"/>
      <c r="S334" s="2"/>
      <c r="T334" s="2"/>
      <c r="U334" s="2"/>
      <c r="V334" s="2"/>
      <c r="W334" s="2"/>
      <c r="X334" s="2"/>
    </row>
    <row r="335" ht="15.75" customHeight="1">
      <c r="A335" s="1" t="s">
        <v>2206</v>
      </c>
      <c r="B335" s="2">
        <v>9.010401156828E12</v>
      </c>
      <c r="C335" s="7" t="s">
        <v>2207</v>
      </c>
      <c r="D335" s="13" t="s">
        <v>48</v>
      </c>
      <c r="E335" s="2" t="s">
        <v>2208</v>
      </c>
      <c r="F335" s="4" t="s">
        <v>19</v>
      </c>
      <c r="G335" s="4">
        <v>2020.0</v>
      </c>
      <c r="H335" s="1" t="s">
        <v>2209</v>
      </c>
      <c r="I335" s="2"/>
      <c r="J335" s="5" t="s">
        <v>2210</v>
      </c>
      <c r="K335" s="5" t="s">
        <v>2210</v>
      </c>
      <c r="L335" s="2" t="s">
        <v>24</v>
      </c>
      <c r="M335" s="1"/>
      <c r="N335" s="1"/>
      <c r="O335" s="7" t="s">
        <v>2211</v>
      </c>
      <c r="P335" s="2"/>
      <c r="Q335" s="2"/>
      <c r="R335" s="2"/>
      <c r="S335" s="2"/>
      <c r="T335" s="2"/>
      <c r="U335" s="2"/>
      <c r="V335" s="2"/>
      <c r="W335" s="2"/>
      <c r="X335" s="2"/>
    </row>
    <row r="336" ht="15.75" customHeight="1">
      <c r="A336" s="1" t="s">
        <v>2212</v>
      </c>
      <c r="B336" s="2">
        <v>1.011001129784E12</v>
      </c>
      <c r="C336" s="7" t="s">
        <v>2213</v>
      </c>
      <c r="D336" s="1" t="s">
        <v>2214</v>
      </c>
      <c r="E336" s="2" t="s">
        <v>2215</v>
      </c>
      <c r="F336" s="4" t="s">
        <v>19</v>
      </c>
      <c r="G336" s="4">
        <v>2020.0</v>
      </c>
      <c r="H336" s="1" t="s">
        <v>2216</v>
      </c>
      <c r="I336" s="2"/>
      <c r="J336" s="5"/>
      <c r="K336" s="9"/>
      <c r="L336" s="2" t="s">
        <v>24</v>
      </c>
      <c r="M336" s="1"/>
      <c r="N336" s="1"/>
      <c r="O336" s="7" t="s">
        <v>2217</v>
      </c>
      <c r="P336" s="2"/>
      <c r="Q336" s="2"/>
      <c r="R336" s="2"/>
      <c r="S336" s="2"/>
      <c r="T336" s="2"/>
      <c r="U336" s="2"/>
      <c r="V336" s="2"/>
      <c r="W336" s="2"/>
      <c r="X336" s="2"/>
    </row>
    <row r="337" ht="15.75" customHeight="1">
      <c r="A337" s="1" t="s">
        <v>2218</v>
      </c>
      <c r="B337" s="2">
        <v>7.120001226716E12</v>
      </c>
      <c r="C337" s="7" t="s">
        <v>2219</v>
      </c>
      <c r="D337" s="1" t="s">
        <v>56</v>
      </c>
      <c r="E337" s="2" t="s">
        <v>2220</v>
      </c>
      <c r="F337" s="4" t="s">
        <v>58</v>
      </c>
      <c r="G337" s="4">
        <v>2020.0</v>
      </c>
      <c r="H337" s="1" t="s">
        <v>2221</v>
      </c>
      <c r="I337" s="2"/>
      <c r="J337" s="5" t="s">
        <v>2222</v>
      </c>
      <c r="K337" s="14" t="s">
        <v>2222</v>
      </c>
      <c r="L337" s="2" t="s">
        <v>24</v>
      </c>
      <c r="M337" s="1"/>
      <c r="N337" s="1"/>
      <c r="O337" s="7" t="s">
        <v>2223</v>
      </c>
      <c r="P337" s="2"/>
      <c r="Q337" s="2"/>
      <c r="R337" s="2"/>
      <c r="S337" s="2"/>
      <c r="T337" s="2"/>
      <c r="U337" s="2"/>
      <c r="V337" s="2"/>
      <c r="W337" s="2"/>
      <c r="X337" s="2"/>
    </row>
    <row r="338" ht="15.75" customHeight="1">
      <c r="A338" s="1"/>
      <c r="B338" s="2"/>
      <c r="C338" s="81"/>
      <c r="D338" s="1"/>
      <c r="E338" s="2"/>
      <c r="F338" s="4"/>
      <c r="G338" s="4"/>
      <c r="H338" s="1"/>
      <c r="I338" s="2"/>
      <c r="J338" s="5"/>
      <c r="K338" s="9"/>
      <c r="L338" s="2"/>
      <c r="M338" s="1"/>
      <c r="N338" s="1"/>
      <c r="O338" s="1"/>
      <c r="P338" s="2"/>
      <c r="Q338" s="2"/>
      <c r="R338" s="2"/>
      <c r="S338" s="2"/>
      <c r="T338" s="2"/>
      <c r="U338" s="2"/>
      <c r="V338" s="2"/>
      <c r="W338" s="2"/>
      <c r="X338" s="2"/>
    </row>
    <row r="339" ht="15.75" customHeight="1">
      <c r="A339" s="1"/>
      <c r="B339" s="2"/>
      <c r="C339" s="81"/>
      <c r="D339" s="1"/>
      <c r="E339" s="2"/>
      <c r="F339" s="4"/>
      <c r="G339" s="4"/>
      <c r="H339" s="1"/>
      <c r="I339" s="2"/>
      <c r="J339" s="5"/>
      <c r="K339" s="5"/>
      <c r="L339" s="2"/>
      <c r="M339" s="1"/>
      <c r="N339" s="1"/>
      <c r="O339" s="1"/>
      <c r="P339" s="2"/>
      <c r="Q339" s="2"/>
      <c r="R339" s="2"/>
      <c r="S339" s="2"/>
      <c r="T339" s="2"/>
      <c r="U339" s="2"/>
      <c r="V339" s="2"/>
      <c r="W339" s="2"/>
      <c r="X339" s="2"/>
    </row>
    <row r="340" ht="15.75" customHeight="1">
      <c r="A340" s="1"/>
      <c r="B340" s="2"/>
      <c r="C340" s="81"/>
      <c r="D340" s="1"/>
      <c r="E340" s="2"/>
      <c r="F340" s="4"/>
      <c r="G340" s="4"/>
      <c r="H340" s="1"/>
      <c r="I340" s="2"/>
      <c r="J340" s="5"/>
      <c r="K340" s="5"/>
      <c r="L340" s="2"/>
      <c r="M340" s="1"/>
      <c r="N340" s="1"/>
      <c r="O340" s="1"/>
      <c r="P340" s="2"/>
      <c r="Q340" s="2"/>
      <c r="R340" s="2"/>
      <c r="S340" s="2"/>
      <c r="T340" s="2"/>
      <c r="U340" s="2"/>
      <c r="V340" s="2"/>
      <c r="W340" s="2"/>
      <c r="X340" s="2"/>
    </row>
    <row r="341" ht="15.75" customHeight="1">
      <c r="A341" s="1"/>
      <c r="B341" s="2"/>
      <c r="C341" s="81"/>
      <c r="D341" s="1"/>
      <c r="E341" s="2"/>
      <c r="F341" s="4"/>
      <c r="G341" s="4"/>
      <c r="H341" s="1"/>
      <c r="I341" s="2"/>
      <c r="J341" s="5"/>
      <c r="K341" s="5"/>
      <c r="L341" s="2"/>
      <c r="M341" s="1"/>
      <c r="N341" s="1"/>
      <c r="O341" s="1"/>
      <c r="P341" s="2"/>
      <c r="Q341" s="2"/>
      <c r="R341" s="2"/>
      <c r="S341" s="2"/>
      <c r="T341" s="2"/>
      <c r="U341" s="2"/>
      <c r="V341" s="2"/>
      <c r="W341" s="2"/>
      <c r="X341" s="2"/>
    </row>
    <row r="342" ht="15.75" customHeight="1">
      <c r="A342" s="1"/>
      <c r="B342" s="2"/>
      <c r="C342" s="81"/>
      <c r="D342" s="1"/>
      <c r="E342" s="2"/>
      <c r="F342" s="4"/>
      <c r="G342" s="4"/>
      <c r="H342" s="1"/>
      <c r="I342" s="2"/>
      <c r="J342" s="5"/>
      <c r="K342" s="5"/>
      <c r="L342" s="2"/>
      <c r="M342" s="1"/>
      <c r="N342" s="1"/>
      <c r="O342" s="1"/>
      <c r="P342" s="2"/>
      <c r="Q342" s="2"/>
      <c r="R342" s="2"/>
      <c r="S342" s="2"/>
      <c r="T342" s="2"/>
      <c r="U342" s="2"/>
      <c r="V342" s="2"/>
      <c r="W342" s="2"/>
      <c r="X342" s="2"/>
    </row>
    <row r="343" ht="15.75" customHeight="1">
      <c r="A343" s="1"/>
      <c r="B343" s="2"/>
      <c r="C343" s="81"/>
      <c r="D343" s="1"/>
      <c r="E343" s="2"/>
      <c r="F343" s="4"/>
      <c r="G343" s="4"/>
      <c r="H343" s="1"/>
      <c r="I343" s="2"/>
      <c r="J343" s="5"/>
      <c r="K343" s="5"/>
      <c r="L343" s="2"/>
      <c r="M343" s="1"/>
      <c r="N343" s="1"/>
      <c r="O343" s="1"/>
      <c r="P343" s="2"/>
      <c r="Q343" s="2"/>
      <c r="R343" s="2"/>
      <c r="S343" s="2"/>
      <c r="T343" s="2"/>
      <c r="U343" s="2"/>
      <c r="V343" s="2"/>
      <c r="W343" s="2"/>
      <c r="X343" s="2"/>
    </row>
    <row r="344" ht="15.75" customHeight="1">
      <c r="A344" s="1"/>
      <c r="B344" s="2"/>
      <c r="C344" s="81"/>
      <c r="D344" s="1"/>
      <c r="E344" s="2"/>
      <c r="F344" s="4"/>
      <c r="G344" s="4"/>
      <c r="H344" s="1"/>
      <c r="I344" s="2"/>
      <c r="J344" s="5"/>
      <c r="K344" s="5"/>
      <c r="L344" s="2"/>
      <c r="M344" s="1"/>
      <c r="N344" s="1"/>
      <c r="O344" s="1"/>
      <c r="P344" s="2"/>
      <c r="Q344" s="2"/>
      <c r="R344" s="2"/>
      <c r="S344" s="2"/>
      <c r="T344" s="2"/>
      <c r="U344" s="2"/>
      <c r="V344" s="2"/>
      <c r="W344" s="2"/>
      <c r="X344" s="2"/>
    </row>
    <row r="345" ht="15.75" customHeight="1">
      <c r="A345" s="1"/>
      <c r="B345" s="2"/>
      <c r="C345" s="81"/>
      <c r="D345" s="1"/>
      <c r="E345" s="2"/>
      <c r="F345" s="4"/>
      <c r="G345" s="4"/>
      <c r="H345" s="1"/>
      <c r="I345" s="2"/>
      <c r="J345" s="5"/>
      <c r="K345" s="5"/>
      <c r="L345" s="2"/>
      <c r="M345" s="1"/>
      <c r="N345" s="1"/>
      <c r="O345" s="1"/>
      <c r="P345" s="2"/>
      <c r="Q345" s="2"/>
      <c r="R345" s="2"/>
      <c r="S345" s="2"/>
      <c r="T345" s="2"/>
      <c r="U345" s="2"/>
      <c r="V345" s="2"/>
      <c r="W345" s="2"/>
      <c r="X345" s="2"/>
    </row>
    <row r="346" ht="15.75" customHeight="1">
      <c r="A346" s="1"/>
      <c r="B346" s="2"/>
      <c r="C346" s="81"/>
      <c r="D346" s="1"/>
      <c r="E346" s="2"/>
      <c r="F346" s="4"/>
      <c r="G346" s="4"/>
      <c r="H346" s="1"/>
      <c r="I346" s="2"/>
      <c r="J346" s="5"/>
      <c r="K346" s="5"/>
      <c r="L346" s="2"/>
      <c r="M346" s="1"/>
      <c r="N346" s="1"/>
      <c r="O346" s="1"/>
      <c r="P346" s="2"/>
      <c r="Q346" s="2"/>
      <c r="R346" s="2"/>
      <c r="S346" s="2"/>
      <c r="T346" s="2"/>
      <c r="U346" s="2"/>
      <c r="V346" s="2"/>
      <c r="W346" s="2"/>
      <c r="X346" s="2"/>
    </row>
    <row r="347" ht="15.75" customHeight="1">
      <c r="A347" s="1"/>
      <c r="B347" s="2"/>
      <c r="C347" s="81"/>
      <c r="D347" s="1"/>
      <c r="E347" s="2"/>
      <c r="F347" s="4"/>
      <c r="G347" s="4"/>
      <c r="H347" s="1"/>
      <c r="I347" s="2"/>
      <c r="J347" s="5"/>
      <c r="K347" s="5"/>
      <c r="L347" s="2"/>
      <c r="M347" s="1"/>
      <c r="N347" s="1"/>
      <c r="O347" s="1"/>
      <c r="P347" s="2"/>
      <c r="Q347" s="2"/>
      <c r="R347" s="2"/>
      <c r="S347" s="2"/>
      <c r="T347" s="2"/>
      <c r="U347" s="2"/>
      <c r="V347" s="2"/>
      <c r="W347" s="2"/>
      <c r="X347" s="2"/>
    </row>
    <row r="348" ht="15.75" customHeight="1">
      <c r="A348" s="1"/>
      <c r="B348" s="2"/>
      <c r="C348" s="81"/>
      <c r="D348" s="1"/>
      <c r="E348" s="2"/>
      <c r="F348" s="4"/>
      <c r="G348" s="4"/>
      <c r="H348" s="1"/>
      <c r="I348" s="2"/>
      <c r="J348" s="5"/>
      <c r="K348" s="5"/>
      <c r="L348" s="2"/>
      <c r="M348" s="1"/>
      <c r="N348" s="1"/>
      <c r="O348" s="1"/>
      <c r="P348" s="2"/>
      <c r="Q348" s="2"/>
      <c r="R348" s="2"/>
      <c r="S348" s="2"/>
      <c r="T348" s="2"/>
      <c r="U348" s="2"/>
      <c r="V348" s="2"/>
      <c r="W348" s="2"/>
      <c r="X348" s="2"/>
    </row>
    <row r="349" ht="15.75" customHeight="1">
      <c r="A349" s="1"/>
      <c r="B349" s="2"/>
      <c r="C349" s="81"/>
      <c r="D349" s="1"/>
      <c r="E349" s="2"/>
      <c r="F349" s="4"/>
      <c r="G349" s="4"/>
      <c r="H349" s="1"/>
      <c r="I349" s="2"/>
      <c r="J349" s="5"/>
      <c r="K349" s="5"/>
      <c r="L349" s="2"/>
      <c r="M349" s="1"/>
      <c r="N349" s="1"/>
      <c r="O349" s="1"/>
      <c r="P349" s="2"/>
      <c r="Q349" s="2"/>
      <c r="R349" s="2"/>
      <c r="S349" s="2"/>
      <c r="T349" s="2"/>
      <c r="U349" s="2"/>
      <c r="V349" s="2"/>
      <c r="W349" s="2"/>
      <c r="X349" s="2"/>
    </row>
    <row r="350" ht="15.75" customHeight="1">
      <c r="A350" s="1"/>
      <c r="B350" s="2"/>
      <c r="C350" s="81"/>
      <c r="D350" s="1"/>
      <c r="E350" s="2"/>
      <c r="F350" s="4"/>
      <c r="G350" s="4"/>
      <c r="H350" s="1"/>
      <c r="I350" s="2"/>
      <c r="J350" s="5"/>
      <c r="K350" s="5"/>
      <c r="L350" s="2"/>
      <c r="M350" s="1"/>
      <c r="N350" s="1"/>
      <c r="O350" s="1"/>
      <c r="P350" s="2"/>
      <c r="Q350" s="2"/>
      <c r="R350" s="2"/>
      <c r="S350" s="2"/>
      <c r="T350" s="2"/>
      <c r="U350" s="2"/>
      <c r="V350" s="2"/>
      <c r="W350" s="2"/>
      <c r="X350" s="2"/>
    </row>
    <row r="351" ht="15.75" customHeight="1">
      <c r="A351" s="1"/>
      <c r="B351" s="2"/>
      <c r="C351" s="81"/>
      <c r="D351" s="1"/>
      <c r="E351" s="2"/>
      <c r="F351" s="4"/>
      <c r="G351" s="4"/>
      <c r="H351" s="1"/>
      <c r="I351" s="2"/>
      <c r="J351" s="5"/>
      <c r="K351" s="5"/>
      <c r="L351" s="2"/>
      <c r="M351" s="1"/>
      <c r="N351" s="1"/>
      <c r="O351" s="1"/>
      <c r="P351" s="2"/>
      <c r="Q351" s="2"/>
      <c r="R351" s="2"/>
      <c r="S351" s="2"/>
      <c r="T351" s="2"/>
      <c r="U351" s="2"/>
      <c r="V351" s="2"/>
      <c r="W351" s="2"/>
      <c r="X351" s="2"/>
    </row>
    <row r="352" ht="15.75" customHeight="1">
      <c r="A352" s="1"/>
      <c r="B352" s="2"/>
      <c r="C352" s="81"/>
      <c r="D352" s="1"/>
      <c r="E352" s="2"/>
      <c r="F352" s="4"/>
      <c r="G352" s="4"/>
      <c r="H352" s="1"/>
      <c r="I352" s="2"/>
      <c r="J352" s="5"/>
      <c r="K352" s="5"/>
      <c r="L352" s="2"/>
      <c r="M352" s="1"/>
      <c r="N352" s="1"/>
      <c r="O352" s="1"/>
      <c r="P352" s="2"/>
      <c r="Q352" s="2"/>
      <c r="R352" s="2"/>
      <c r="S352" s="2"/>
      <c r="T352" s="2"/>
      <c r="U352" s="2"/>
      <c r="V352" s="2"/>
      <c r="W352" s="2"/>
      <c r="X352" s="2"/>
    </row>
    <row r="353" ht="15.75" customHeight="1">
      <c r="A353" s="1"/>
      <c r="B353" s="2"/>
      <c r="C353" s="81"/>
      <c r="D353" s="1"/>
      <c r="E353" s="2"/>
      <c r="F353" s="4"/>
      <c r="G353" s="4"/>
      <c r="H353" s="1"/>
      <c r="I353" s="2"/>
      <c r="J353" s="5"/>
      <c r="K353" s="5"/>
      <c r="L353" s="2"/>
      <c r="M353" s="1"/>
      <c r="N353" s="1"/>
      <c r="O353" s="1"/>
      <c r="P353" s="2"/>
      <c r="Q353" s="2"/>
      <c r="R353" s="2"/>
      <c r="S353" s="2"/>
      <c r="T353" s="2"/>
      <c r="U353" s="2"/>
      <c r="V353" s="2"/>
      <c r="W353" s="2"/>
      <c r="X353" s="2"/>
    </row>
    <row r="354" ht="15.75" customHeight="1">
      <c r="A354" s="1"/>
      <c r="B354" s="2"/>
      <c r="C354" s="81"/>
      <c r="D354" s="1"/>
      <c r="E354" s="2"/>
      <c r="F354" s="4"/>
      <c r="G354" s="4"/>
      <c r="H354" s="1"/>
      <c r="I354" s="2"/>
      <c r="J354" s="5"/>
      <c r="K354" s="5"/>
      <c r="L354" s="2"/>
      <c r="M354" s="1"/>
      <c r="N354" s="1"/>
      <c r="O354" s="1"/>
      <c r="P354" s="2"/>
      <c r="Q354" s="2"/>
      <c r="R354" s="2"/>
      <c r="S354" s="2"/>
      <c r="T354" s="2"/>
      <c r="U354" s="2"/>
      <c r="V354" s="2"/>
      <c r="W354" s="2"/>
      <c r="X354" s="2"/>
    </row>
    <row r="355" ht="15.75" customHeight="1">
      <c r="A355" s="1"/>
      <c r="B355" s="2"/>
      <c r="C355" s="81"/>
      <c r="D355" s="1"/>
      <c r="E355" s="2"/>
      <c r="F355" s="4"/>
      <c r="G355" s="4"/>
      <c r="H355" s="1"/>
      <c r="I355" s="2"/>
      <c r="J355" s="5"/>
      <c r="K355" s="5"/>
      <c r="L355" s="2"/>
      <c r="M355" s="1"/>
      <c r="N355" s="1"/>
      <c r="O355" s="1"/>
      <c r="P355" s="2"/>
      <c r="Q355" s="2"/>
      <c r="R355" s="2"/>
      <c r="S355" s="2"/>
      <c r="T355" s="2"/>
      <c r="U355" s="2"/>
      <c r="V355" s="2"/>
      <c r="W355" s="2"/>
      <c r="X355" s="2"/>
    </row>
    <row r="356" ht="15.75" customHeight="1">
      <c r="A356" s="1"/>
      <c r="B356" s="2"/>
      <c r="C356" s="81"/>
      <c r="D356" s="1"/>
      <c r="E356" s="2"/>
      <c r="F356" s="4"/>
      <c r="G356" s="4"/>
      <c r="H356" s="1"/>
      <c r="I356" s="2"/>
      <c r="J356" s="5"/>
      <c r="K356" s="5"/>
      <c r="L356" s="2"/>
      <c r="M356" s="1"/>
      <c r="N356" s="1"/>
      <c r="O356" s="1"/>
      <c r="P356" s="2"/>
      <c r="Q356" s="2"/>
      <c r="R356" s="2"/>
      <c r="S356" s="2"/>
      <c r="T356" s="2"/>
      <c r="U356" s="2"/>
      <c r="V356" s="2"/>
      <c r="W356" s="2"/>
      <c r="X356" s="2"/>
    </row>
    <row r="357" ht="15.75" customHeight="1">
      <c r="A357" s="1"/>
      <c r="B357" s="2"/>
      <c r="C357" s="81"/>
      <c r="D357" s="1"/>
      <c r="E357" s="2"/>
      <c r="F357" s="4"/>
      <c r="G357" s="4"/>
      <c r="H357" s="1"/>
      <c r="I357" s="2"/>
      <c r="J357" s="5"/>
      <c r="K357" s="5"/>
      <c r="L357" s="2"/>
      <c r="M357" s="1"/>
      <c r="N357" s="1"/>
      <c r="O357" s="1"/>
      <c r="P357" s="2"/>
      <c r="Q357" s="2"/>
      <c r="R357" s="2"/>
      <c r="S357" s="2"/>
      <c r="T357" s="2"/>
      <c r="U357" s="2"/>
      <c r="V357" s="2"/>
      <c r="W357" s="2"/>
      <c r="X357" s="2"/>
    </row>
    <row r="358" ht="15.75" customHeight="1">
      <c r="A358" s="1"/>
      <c r="B358" s="2"/>
      <c r="C358" s="81"/>
      <c r="D358" s="1"/>
      <c r="E358" s="2"/>
      <c r="F358" s="4"/>
      <c r="G358" s="4"/>
      <c r="H358" s="1"/>
      <c r="I358" s="68"/>
      <c r="J358" s="5"/>
      <c r="K358" s="5"/>
      <c r="L358" s="2"/>
      <c r="M358" s="1"/>
      <c r="N358" s="1"/>
      <c r="O358" s="1"/>
      <c r="P358" s="2"/>
      <c r="Q358" s="2"/>
      <c r="R358" s="2"/>
      <c r="S358" s="2"/>
      <c r="T358" s="2"/>
      <c r="U358" s="2"/>
      <c r="V358" s="2"/>
      <c r="W358" s="2"/>
      <c r="X358" s="2"/>
    </row>
    <row r="359" ht="15.75" customHeight="1">
      <c r="A359" s="1"/>
      <c r="B359" s="2"/>
      <c r="C359" s="81"/>
      <c r="D359" s="1"/>
      <c r="E359" s="2"/>
      <c r="F359" s="4"/>
      <c r="G359" s="4"/>
      <c r="H359" s="1"/>
      <c r="I359" s="2"/>
      <c r="J359" s="5"/>
      <c r="K359" s="5"/>
      <c r="L359" s="2"/>
      <c r="M359" s="1"/>
      <c r="N359" s="1"/>
      <c r="O359" s="1"/>
      <c r="P359" s="2"/>
      <c r="Q359" s="2"/>
      <c r="R359" s="2"/>
      <c r="S359" s="2"/>
      <c r="T359" s="2"/>
      <c r="U359" s="2"/>
      <c r="V359" s="2"/>
      <c r="W359" s="2"/>
      <c r="X359" s="2"/>
    </row>
    <row r="360" ht="15.75" customHeight="1">
      <c r="A360" s="1"/>
      <c r="B360" s="2"/>
      <c r="C360" s="81"/>
      <c r="D360" s="1"/>
      <c r="E360" s="2"/>
      <c r="F360" s="4"/>
      <c r="G360" s="4"/>
      <c r="H360" s="1"/>
      <c r="I360" s="2"/>
      <c r="J360" s="5"/>
      <c r="K360" s="5"/>
      <c r="L360" s="2"/>
      <c r="M360" s="1"/>
      <c r="N360" s="1"/>
      <c r="O360" s="1"/>
      <c r="P360" s="2"/>
      <c r="Q360" s="2"/>
      <c r="R360" s="2"/>
      <c r="S360" s="2"/>
      <c r="T360" s="2"/>
      <c r="U360" s="2"/>
      <c r="V360" s="2"/>
      <c r="W360" s="2"/>
      <c r="X360" s="2"/>
    </row>
    <row r="361" ht="15.75" customHeight="1">
      <c r="A361" s="1"/>
      <c r="B361" s="2"/>
      <c r="C361" s="81"/>
      <c r="D361" s="1"/>
      <c r="E361" s="2"/>
      <c r="F361" s="4"/>
      <c r="G361" s="4"/>
      <c r="H361" s="1"/>
      <c r="I361" s="2"/>
      <c r="J361" s="5"/>
      <c r="K361" s="5"/>
      <c r="L361" s="2"/>
      <c r="M361" s="1"/>
      <c r="N361" s="1"/>
      <c r="O361" s="1"/>
      <c r="P361" s="2"/>
      <c r="Q361" s="2"/>
      <c r="R361" s="2"/>
      <c r="S361" s="2"/>
      <c r="T361" s="2"/>
      <c r="U361" s="2"/>
      <c r="V361" s="2"/>
      <c r="W361" s="2"/>
      <c r="X361" s="2"/>
    </row>
    <row r="362" ht="15.75" customHeight="1">
      <c r="A362" s="1"/>
      <c r="B362" s="2"/>
      <c r="C362" s="81"/>
      <c r="D362" s="1"/>
      <c r="E362" s="2"/>
      <c r="F362" s="4"/>
      <c r="G362" s="4"/>
      <c r="H362" s="1"/>
      <c r="I362" s="2"/>
      <c r="J362" s="5"/>
      <c r="K362" s="5"/>
      <c r="L362" s="2"/>
      <c r="M362" s="1"/>
      <c r="N362" s="1"/>
      <c r="O362" s="1"/>
      <c r="P362" s="2"/>
      <c r="Q362" s="2"/>
      <c r="R362" s="2"/>
      <c r="S362" s="2"/>
      <c r="T362" s="2"/>
      <c r="U362" s="2"/>
      <c r="V362" s="2"/>
      <c r="W362" s="2"/>
      <c r="X362" s="2"/>
    </row>
    <row r="363" ht="15.75" customHeight="1">
      <c r="A363" s="1"/>
      <c r="B363" s="2"/>
      <c r="C363" s="81"/>
      <c r="D363" s="1"/>
      <c r="E363" s="2"/>
      <c r="F363" s="4"/>
      <c r="G363" s="4"/>
      <c r="H363" s="1"/>
      <c r="I363" s="2"/>
      <c r="J363" s="5"/>
      <c r="K363" s="5"/>
      <c r="L363" s="2"/>
      <c r="M363" s="1"/>
      <c r="N363" s="1"/>
      <c r="O363" s="1"/>
      <c r="P363" s="2"/>
      <c r="Q363" s="2"/>
      <c r="R363" s="2"/>
      <c r="S363" s="2"/>
      <c r="T363" s="2"/>
      <c r="U363" s="2"/>
      <c r="V363" s="2"/>
      <c r="W363" s="2"/>
      <c r="X363" s="2"/>
    </row>
    <row r="364" ht="15.75" customHeight="1">
      <c r="A364" s="1"/>
      <c r="B364" s="2"/>
      <c r="C364" s="81"/>
      <c r="D364" s="1"/>
      <c r="E364" s="2"/>
      <c r="F364" s="4"/>
      <c r="G364" s="4"/>
      <c r="H364" s="1"/>
      <c r="I364" s="2"/>
      <c r="J364" s="5"/>
      <c r="K364" s="5"/>
      <c r="L364" s="2"/>
      <c r="M364" s="1"/>
      <c r="N364" s="1"/>
      <c r="O364" s="1"/>
      <c r="P364" s="2"/>
      <c r="Q364" s="2"/>
      <c r="R364" s="2"/>
      <c r="S364" s="2"/>
      <c r="T364" s="2"/>
      <c r="U364" s="2"/>
      <c r="V364" s="2"/>
      <c r="W364" s="2"/>
      <c r="X364" s="2"/>
    </row>
    <row r="365" ht="15.75" customHeight="1">
      <c r="A365" s="1"/>
      <c r="B365" s="2"/>
      <c r="C365" s="81"/>
      <c r="D365" s="1"/>
      <c r="E365" s="2"/>
      <c r="F365" s="4"/>
      <c r="G365" s="4"/>
      <c r="H365" s="1"/>
      <c r="I365" s="2"/>
      <c r="J365" s="5"/>
      <c r="K365" s="5"/>
      <c r="L365" s="2"/>
      <c r="M365" s="1"/>
      <c r="N365" s="1"/>
      <c r="O365" s="1"/>
      <c r="P365" s="2"/>
      <c r="Q365" s="2"/>
      <c r="R365" s="2"/>
      <c r="S365" s="2"/>
      <c r="T365" s="2"/>
      <c r="U365" s="2"/>
      <c r="V365" s="2"/>
      <c r="W365" s="2"/>
      <c r="X365" s="2"/>
    </row>
    <row r="366" ht="15.75" customHeight="1">
      <c r="A366" s="1"/>
      <c r="B366" s="2"/>
      <c r="C366" s="81"/>
      <c r="D366" s="1"/>
      <c r="E366" s="2"/>
      <c r="F366" s="4"/>
      <c r="G366" s="4"/>
      <c r="H366" s="1"/>
      <c r="I366" s="2"/>
      <c r="J366" s="5"/>
      <c r="K366" s="5"/>
      <c r="L366" s="2"/>
      <c r="M366" s="1"/>
      <c r="N366" s="1"/>
      <c r="O366" s="1"/>
      <c r="P366" s="2"/>
      <c r="Q366" s="2"/>
      <c r="R366" s="2"/>
      <c r="S366" s="2"/>
      <c r="T366" s="2"/>
      <c r="U366" s="2"/>
      <c r="V366" s="2"/>
      <c r="W366" s="2"/>
      <c r="X366" s="2"/>
    </row>
    <row r="367" ht="15.75" customHeight="1">
      <c r="A367" s="1"/>
      <c r="B367" s="2"/>
      <c r="C367" s="81"/>
      <c r="D367" s="1"/>
      <c r="E367" s="2"/>
      <c r="F367" s="4"/>
      <c r="G367" s="4"/>
      <c r="H367" s="1"/>
      <c r="I367" s="2"/>
      <c r="J367" s="5"/>
      <c r="K367" s="5"/>
      <c r="L367" s="2"/>
      <c r="M367" s="1"/>
      <c r="N367" s="1"/>
      <c r="O367" s="1"/>
      <c r="P367" s="2"/>
      <c r="Q367" s="2"/>
      <c r="R367" s="2"/>
      <c r="S367" s="2"/>
      <c r="T367" s="2"/>
      <c r="U367" s="2"/>
      <c r="V367" s="2"/>
      <c r="W367" s="2"/>
      <c r="X367" s="2"/>
    </row>
    <row r="368" ht="15.75" customHeight="1">
      <c r="A368" s="1"/>
      <c r="B368" s="2"/>
      <c r="C368" s="81"/>
      <c r="D368" s="1"/>
      <c r="E368" s="2"/>
      <c r="F368" s="4"/>
      <c r="G368" s="4"/>
      <c r="H368" s="1"/>
      <c r="I368" s="2"/>
      <c r="J368" s="5"/>
      <c r="K368" s="5"/>
      <c r="L368" s="2"/>
      <c r="M368" s="1"/>
      <c r="N368" s="1"/>
      <c r="O368" s="1"/>
      <c r="P368" s="2"/>
      <c r="Q368" s="2"/>
      <c r="R368" s="2"/>
      <c r="S368" s="2"/>
      <c r="T368" s="2"/>
      <c r="U368" s="2"/>
      <c r="V368" s="2"/>
      <c r="W368" s="2"/>
      <c r="X368" s="2"/>
    </row>
    <row r="369" ht="15.75" customHeight="1">
      <c r="A369" s="1"/>
      <c r="B369" s="2"/>
      <c r="C369" s="81"/>
      <c r="D369" s="1"/>
      <c r="E369" s="2"/>
      <c r="F369" s="4"/>
      <c r="G369" s="4"/>
      <c r="H369" s="1"/>
      <c r="I369" s="2"/>
      <c r="J369" s="5"/>
      <c r="K369" s="5"/>
      <c r="L369" s="2"/>
      <c r="M369" s="1"/>
      <c r="N369" s="1"/>
      <c r="O369" s="1"/>
      <c r="P369" s="2"/>
      <c r="Q369" s="2"/>
      <c r="R369" s="2"/>
      <c r="S369" s="2"/>
      <c r="T369" s="2"/>
      <c r="U369" s="2"/>
      <c r="V369" s="2"/>
      <c r="W369" s="2"/>
      <c r="X369" s="2"/>
    </row>
    <row r="370" ht="15.75" customHeight="1">
      <c r="A370" s="1"/>
      <c r="B370" s="2"/>
      <c r="C370" s="81"/>
      <c r="D370" s="1"/>
      <c r="E370" s="2"/>
      <c r="F370" s="4"/>
      <c r="G370" s="4"/>
      <c r="H370" s="1"/>
      <c r="I370" s="2"/>
      <c r="J370" s="5"/>
      <c r="K370" s="5"/>
      <c r="L370" s="2"/>
      <c r="M370" s="1"/>
      <c r="N370" s="1"/>
      <c r="O370" s="1"/>
      <c r="P370" s="2"/>
      <c r="Q370" s="2"/>
      <c r="R370" s="2"/>
      <c r="S370" s="2"/>
      <c r="T370" s="2"/>
      <c r="U370" s="2"/>
      <c r="V370" s="2"/>
      <c r="W370" s="2"/>
      <c r="X370" s="2"/>
    </row>
    <row r="371" ht="15.75" customHeight="1">
      <c r="A371" s="1"/>
      <c r="B371" s="2"/>
      <c r="C371" s="81"/>
      <c r="D371" s="1"/>
      <c r="E371" s="2"/>
      <c r="F371" s="4"/>
      <c r="G371" s="4"/>
      <c r="H371" s="1"/>
      <c r="I371" s="2"/>
      <c r="J371" s="5"/>
      <c r="K371" s="5"/>
      <c r="L371" s="2"/>
      <c r="M371" s="1"/>
      <c r="N371" s="1"/>
      <c r="O371" s="1"/>
      <c r="P371" s="2"/>
      <c r="Q371" s="2"/>
      <c r="R371" s="2"/>
      <c r="S371" s="2"/>
      <c r="T371" s="2"/>
      <c r="U371" s="2"/>
      <c r="V371" s="2"/>
      <c r="W371" s="2"/>
      <c r="X371" s="2"/>
    </row>
    <row r="372" ht="15.75" customHeight="1">
      <c r="A372" s="1"/>
      <c r="B372" s="2"/>
      <c r="C372" s="81"/>
      <c r="D372" s="1"/>
      <c r="E372" s="2"/>
      <c r="F372" s="4"/>
      <c r="G372" s="4"/>
      <c r="H372" s="1"/>
      <c r="I372" s="2"/>
      <c r="J372" s="5"/>
      <c r="K372" s="5"/>
      <c r="L372" s="2"/>
      <c r="M372" s="1"/>
      <c r="N372" s="1"/>
      <c r="O372" s="1"/>
      <c r="P372" s="2"/>
      <c r="Q372" s="2"/>
      <c r="R372" s="2"/>
      <c r="S372" s="2"/>
      <c r="T372" s="2"/>
      <c r="U372" s="2"/>
      <c r="V372" s="2"/>
      <c r="W372" s="2"/>
      <c r="X372" s="2"/>
    </row>
    <row r="373" ht="15.75" customHeight="1">
      <c r="A373" s="1"/>
      <c r="B373" s="2"/>
      <c r="C373" s="81"/>
      <c r="D373" s="1"/>
      <c r="E373" s="2"/>
      <c r="F373" s="4"/>
      <c r="G373" s="4"/>
      <c r="H373" s="1"/>
      <c r="I373" s="2"/>
      <c r="J373" s="5"/>
      <c r="K373" s="5"/>
      <c r="L373" s="2"/>
      <c r="M373" s="1"/>
      <c r="N373" s="1"/>
      <c r="O373" s="1"/>
      <c r="P373" s="2"/>
      <c r="Q373" s="2"/>
      <c r="R373" s="2"/>
      <c r="S373" s="2"/>
      <c r="T373" s="2"/>
      <c r="U373" s="2"/>
      <c r="V373" s="2"/>
      <c r="W373" s="2"/>
      <c r="X373" s="2"/>
    </row>
    <row r="374" ht="15.75" customHeight="1">
      <c r="A374" s="1"/>
      <c r="B374" s="2"/>
      <c r="C374" s="81"/>
      <c r="D374" s="1"/>
      <c r="E374" s="2"/>
      <c r="F374" s="4"/>
      <c r="G374" s="4"/>
      <c r="H374" s="1"/>
      <c r="I374" s="2"/>
      <c r="J374" s="5"/>
      <c r="K374" s="5"/>
      <c r="L374" s="2"/>
      <c r="M374" s="1"/>
      <c r="N374" s="1"/>
      <c r="O374" s="1"/>
      <c r="P374" s="2"/>
      <c r="Q374" s="2"/>
      <c r="R374" s="2"/>
      <c r="S374" s="2"/>
      <c r="T374" s="2"/>
      <c r="U374" s="2"/>
      <c r="V374" s="2"/>
      <c r="W374" s="2"/>
      <c r="X374" s="2"/>
    </row>
    <row r="375" ht="15.75" customHeight="1">
      <c r="A375" s="1"/>
      <c r="B375" s="2"/>
      <c r="C375" s="81"/>
      <c r="D375" s="1"/>
      <c r="E375" s="2"/>
      <c r="F375" s="4"/>
      <c r="G375" s="4"/>
      <c r="H375" s="1"/>
      <c r="I375" s="2"/>
      <c r="J375" s="5"/>
      <c r="K375" s="5"/>
      <c r="L375" s="2"/>
      <c r="M375" s="1"/>
      <c r="N375" s="1"/>
      <c r="O375" s="1"/>
      <c r="P375" s="2"/>
      <c r="Q375" s="2"/>
      <c r="R375" s="2"/>
      <c r="S375" s="2"/>
      <c r="T375" s="2"/>
      <c r="U375" s="2"/>
      <c r="V375" s="2"/>
      <c r="W375" s="2"/>
      <c r="X375" s="2"/>
    </row>
    <row r="376" ht="15.75" customHeight="1">
      <c r="A376" s="1"/>
      <c r="B376" s="2"/>
      <c r="C376" s="81"/>
      <c r="D376" s="1"/>
      <c r="E376" s="2"/>
      <c r="F376" s="4"/>
      <c r="G376" s="4"/>
      <c r="H376" s="1"/>
      <c r="I376" s="2"/>
      <c r="J376" s="5"/>
      <c r="K376" s="5"/>
      <c r="L376" s="2"/>
      <c r="M376" s="1"/>
      <c r="N376" s="1"/>
      <c r="O376" s="1"/>
      <c r="P376" s="2"/>
      <c r="Q376" s="2"/>
      <c r="R376" s="2"/>
      <c r="S376" s="2"/>
      <c r="T376" s="2"/>
      <c r="U376" s="2"/>
      <c r="V376" s="2"/>
      <c r="W376" s="2"/>
      <c r="X376" s="2"/>
    </row>
    <row r="377" ht="15.75" customHeight="1">
      <c r="A377" s="1"/>
      <c r="B377" s="2"/>
      <c r="C377" s="81"/>
      <c r="D377" s="1"/>
      <c r="E377" s="2"/>
      <c r="F377" s="4"/>
      <c r="G377" s="4"/>
      <c r="H377" s="1"/>
      <c r="I377" s="2"/>
      <c r="J377" s="5"/>
      <c r="K377" s="5"/>
      <c r="L377" s="2"/>
      <c r="M377" s="1"/>
      <c r="N377" s="1"/>
      <c r="O377" s="1"/>
      <c r="P377" s="2"/>
      <c r="Q377" s="2"/>
      <c r="R377" s="2"/>
      <c r="S377" s="2"/>
      <c r="T377" s="2"/>
      <c r="U377" s="2"/>
      <c r="V377" s="2"/>
      <c r="W377" s="2"/>
      <c r="X377" s="2"/>
    </row>
    <row r="378" ht="15.75" customHeight="1">
      <c r="A378" s="1"/>
      <c r="B378" s="2"/>
      <c r="C378" s="81"/>
      <c r="D378" s="1"/>
      <c r="E378" s="2"/>
      <c r="F378" s="4"/>
      <c r="G378" s="4"/>
      <c r="H378" s="1"/>
      <c r="I378" s="2"/>
      <c r="J378" s="5"/>
      <c r="K378" s="5"/>
      <c r="L378" s="2"/>
      <c r="M378" s="1"/>
      <c r="N378" s="1"/>
      <c r="O378" s="1"/>
      <c r="P378" s="2"/>
      <c r="Q378" s="2"/>
      <c r="R378" s="2"/>
      <c r="S378" s="2"/>
      <c r="T378" s="2"/>
      <c r="U378" s="2"/>
      <c r="V378" s="2"/>
      <c r="W378" s="2"/>
      <c r="X378" s="2"/>
    </row>
    <row r="379" ht="15.75" customHeight="1">
      <c r="A379" s="1"/>
      <c r="B379" s="2"/>
      <c r="C379" s="81"/>
      <c r="D379" s="1"/>
      <c r="E379" s="2"/>
      <c r="F379" s="4"/>
      <c r="G379" s="4"/>
      <c r="H379" s="1"/>
      <c r="I379" s="2"/>
      <c r="J379" s="5"/>
      <c r="K379" s="5"/>
      <c r="L379" s="2"/>
      <c r="M379" s="1"/>
      <c r="N379" s="1"/>
      <c r="O379" s="1"/>
      <c r="P379" s="2"/>
      <c r="Q379" s="2"/>
      <c r="R379" s="2"/>
      <c r="S379" s="2"/>
      <c r="T379" s="2"/>
      <c r="U379" s="2"/>
      <c r="V379" s="2"/>
      <c r="W379" s="2"/>
      <c r="X379" s="2"/>
    </row>
    <row r="380" ht="15.75" customHeight="1">
      <c r="A380" s="1"/>
      <c r="B380" s="2"/>
      <c r="C380" s="81"/>
      <c r="D380" s="1"/>
      <c r="E380" s="2"/>
      <c r="F380" s="4"/>
      <c r="G380" s="4"/>
      <c r="H380" s="1"/>
      <c r="I380" s="2"/>
      <c r="J380" s="5"/>
      <c r="K380" s="5"/>
      <c r="L380" s="2"/>
      <c r="M380" s="1"/>
      <c r="N380" s="1"/>
      <c r="O380" s="1"/>
      <c r="P380" s="2"/>
      <c r="Q380" s="2"/>
      <c r="R380" s="2"/>
      <c r="S380" s="2"/>
      <c r="T380" s="2"/>
      <c r="U380" s="2"/>
      <c r="V380" s="2"/>
      <c r="W380" s="2"/>
      <c r="X380" s="2"/>
    </row>
    <row r="381" ht="15.75" customHeight="1">
      <c r="A381" s="1"/>
      <c r="B381" s="2"/>
      <c r="C381" s="81"/>
      <c r="D381" s="1"/>
      <c r="E381" s="2"/>
      <c r="F381" s="4"/>
      <c r="G381" s="4"/>
      <c r="H381" s="1"/>
      <c r="I381" s="2"/>
      <c r="J381" s="5"/>
      <c r="K381" s="5"/>
      <c r="L381" s="2"/>
      <c r="M381" s="1"/>
      <c r="N381" s="1"/>
      <c r="O381" s="1"/>
      <c r="P381" s="2"/>
      <c r="Q381" s="2"/>
      <c r="R381" s="2"/>
      <c r="S381" s="2"/>
      <c r="T381" s="2"/>
      <c r="U381" s="2"/>
      <c r="V381" s="2"/>
      <c r="W381" s="2"/>
      <c r="X381" s="2"/>
    </row>
    <row r="382" ht="15.75" customHeight="1">
      <c r="A382" s="1"/>
      <c r="B382" s="2"/>
      <c r="C382" s="81"/>
      <c r="D382" s="1"/>
      <c r="E382" s="2"/>
      <c r="F382" s="4"/>
      <c r="G382" s="4"/>
      <c r="H382" s="1"/>
      <c r="I382" s="2"/>
      <c r="J382" s="5"/>
      <c r="K382" s="5"/>
      <c r="L382" s="2"/>
      <c r="M382" s="1"/>
      <c r="N382" s="1"/>
      <c r="O382" s="1"/>
      <c r="P382" s="2"/>
      <c r="Q382" s="2"/>
      <c r="R382" s="2"/>
      <c r="S382" s="2"/>
      <c r="T382" s="2"/>
      <c r="U382" s="2"/>
      <c r="V382" s="2"/>
      <c r="W382" s="2"/>
      <c r="X382" s="2"/>
    </row>
    <row r="383" ht="15.75" customHeight="1">
      <c r="A383" s="1"/>
      <c r="B383" s="2"/>
      <c r="C383" s="81"/>
      <c r="D383" s="1"/>
      <c r="E383" s="2"/>
      <c r="F383" s="4"/>
      <c r="G383" s="4"/>
      <c r="H383" s="1"/>
      <c r="I383" s="2"/>
      <c r="J383" s="5"/>
      <c r="K383" s="5"/>
      <c r="L383" s="2"/>
      <c r="M383" s="1"/>
      <c r="N383" s="1"/>
      <c r="O383" s="1"/>
      <c r="P383" s="2"/>
      <c r="Q383" s="2"/>
      <c r="R383" s="2"/>
      <c r="S383" s="2"/>
      <c r="T383" s="2"/>
      <c r="U383" s="2"/>
      <c r="V383" s="2"/>
      <c r="W383" s="2"/>
      <c r="X383" s="2"/>
    </row>
    <row r="384" ht="15.75" customHeight="1">
      <c r="A384" s="1"/>
      <c r="B384" s="2"/>
      <c r="C384" s="81"/>
      <c r="D384" s="1"/>
      <c r="E384" s="2"/>
      <c r="F384" s="4"/>
      <c r="G384" s="4"/>
      <c r="H384" s="1"/>
      <c r="I384" s="2"/>
      <c r="J384" s="5"/>
      <c r="K384" s="5"/>
      <c r="L384" s="2"/>
      <c r="M384" s="1"/>
      <c r="N384" s="1"/>
      <c r="O384" s="1"/>
      <c r="P384" s="2"/>
      <c r="Q384" s="2"/>
      <c r="R384" s="2"/>
      <c r="S384" s="2"/>
      <c r="T384" s="2"/>
      <c r="U384" s="2"/>
      <c r="V384" s="2"/>
      <c r="W384" s="2"/>
      <c r="X384" s="2"/>
    </row>
    <row r="385" ht="15.75" customHeight="1">
      <c r="A385" s="1"/>
      <c r="B385" s="2"/>
      <c r="C385" s="81"/>
      <c r="D385" s="1"/>
      <c r="E385" s="2"/>
      <c r="F385" s="4"/>
      <c r="G385" s="4"/>
      <c r="H385" s="1"/>
      <c r="I385" s="2"/>
      <c r="J385" s="5"/>
      <c r="K385" s="5"/>
      <c r="L385" s="2"/>
      <c r="M385" s="1"/>
      <c r="N385" s="1"/>
      <c r="O385" s="1"/>
      <c r="P385" s="2"/>
      <c r="Q385" s="2"/>
      <c r="R385" s="2"/>
      <c r="S385" s="2"/>
      <c r="T385" s="2"/>
      <c r="U385" s="2"/>
      <c r="V385" s="2"/>
      <c r="W385" s="2"/>
      <c r="X385" s="2"/>
    </row>
    <row r="386" ht="15.75" customHeight="1">
      <c r="A386" s="1"/>
      <c r="B386" s="2"/>
      <c r="C386" s="81"/>
      <c r="D386" s="1"/>
      <c r="E386" s="2"/>
      <c r="F386" s="4"/>
      <c r="G386" s="4"/>
      <c r="H386" s="1"/>
      <c r="I386" s="2"/>
      <c r="J386" s="5"/>
      <c r="K386" s="5"/>
      <c r="L386" s="2"/>
      <c r="M386" s="1"/>
      <c r="N386" s="1"/>
      <c r="O386" s="1"/>
      <c r="P386" s="2"/>
      <c r="Q386" s="2"/>
      <c r="R386" s="2"/>
      <c r="S386" s="2"/>
      <c r="T386" s="2"/>
      <c r="U386" s="2"/>
      <c r="V386" s="2"/>
      <c r="W386" s="2"/>
      <c r="X386" s="2"/>
    </row>
    <row r="387" ht="15.75" customHeight="1">
      <c r="A387" s="1"/>
      <c r="B387" s="2"/>
      <c r="C387" s="81"/>
      <c r="D387" s="1"/>
      <c r="E387" s="2"/>
      <c r="F387" s="4"/>
      <c r="G387" s="4"/>
      <c r="H387" s="1"/>
      <c r="I387" s="2"/>
      <c r="J387" s="5"/>
      <c r="K387" s="5"/>
      <c r="L387" s="2"/>
      <c r="M387" s="1"/>
      <c r="N387" s="1"/>
      <c r="O387" s="1"/>
      <c r="P387" s="2"/>
      <c r="Q387" s="2"/>
      <c r="R387" s="2"/>
      <c r="S387" s="2"/>
      <c r="T387" s="2"/>
      <c r="U387" s="2"/>
      <c r="V387" s="2"/>
      <c r="W387" s="2"/>
      <c r="X387" s="2"/>
    </row>
    <row r="388" ht="15.75" customHeight="1">
      <c r="A388" s="1"/>
      <c r="B388" s="2"/>
      <c r="C388" s="81"/>
      <c r="D388" s="1"/>
      <c r="E388" s="2"/>
      <c r="F388" s="4"/>
      <c r="G388" s="4"/>
      <c r="H388" s="1"/>
      <c r="I388" s="2"/>
      <c r="J388" s="5"/>
      <c r="K388" s="5"/>
      <c r="L388" s="2"/>
      <c r="M388" s="1"/>
      <c r="N388" s="1"/>
      <c r="O388" s="1"/>
      <c r="P388" s="2"/>
      <c r="Q388" s="2"/>
      <c r="R388" s="2"/>
      <c r="S388" s="2"/>
      <c r="T388" s="2"/>
      <c r="U388" s="2"/>
      <c r="V388" s="2"/>
      <c r="W388" s="2"/>
      <c r="X388" s="2"/>
    </row>
    <row r="389" ht="15.75" customHeight="1">
      <c r="A389" s="1"/>
      <c r="B389" s="2"/>
      <c r="C389" s="81"/>
      <c r="D389" s="1"/>
      <c r="E389" s="2"/>
      <c r="F389" s="4"/>
      <c r="G389" s="4"/>
      <c r="H389" s="1"/>
      <c r="I389" s="2"/>
      <c r="J389" s="5"/>
      <c r="K389" s="5"/>
      <c r="L389" s="2"/>
      <c r="M389" s="1"/>
      <c r="N389" s="1"/>
      <c r="O389" s="1"/>
      <c r="P389" s="2"/>
      <c r="Q389" s="2"/>
      <c r="R389" s="2"/>
      <c r="S389" s="2"/>
      <c r="T389" s="2"/>
      <c r="U389" s="2"/>
      <c r="V389" s="2"/>
      <c r="W389" s="2"/>
      <c r="X389" s="2"/>
    </row>
    <row r="390" ht="15.75" customHeight="1">
      <c r="A390" s="1"/>
      <c r="B390" s="2"/>
      <c r="C390" s="81"/>
      <c r="D390" s="1"/>
      <c r="E390" s="2"/>
      <c r="F390" s="4"/>
      <c r="G390" s="4"/>
      <c r="H390" s="1"/>
      <c r="I390" s="2"/>
      <c r="J390" s="5"/>
      <c r="K390" s="5"/>
      <c r="L390" s="2"/>
      <c r="M390" s="1"/>
      <c r="N390" s="1"/>
      <c r="O390" s="1"/>
      <c r="P390" s="2"/>
      <c r="Q390" s="2"/>
      <c r="R390" s="2"/>
      <c r="S390" s="2"/>
      <c r="T390" s="2"/>
      <c r="U390" s="2"/>
      <c r="V390" s="2"/>
      <c r="W390" s="2"/>
      <c r="X390" s="2"/>
    </row>
    <row r="391" ht="15.75" customHeight="1">
      <c r="A391" s="1"/>
      <c r="B391" s="2"/>
      <c r="C391" s="81"/>
      <c r="D391" s="1"/>
      <c r="E391" s="2"/>
      <c r="F391" s="4"/>
      <c r="G391" s="4"/>
      <c r="H391" s="1"/>
      <c r="I391" s="2"/>
      <c r="J391" s="5"/>
      <c r="K391" s="5"/>
      <c r="L391" s="2"/>
      <c r="M391" s="1"/>
      <c r="N391" s="1"/>
      <c r="O391" s="1"/>
      <c r="P391" s="2"/>
      <c r="Q391" s="2"/>
      <c r="R391" s="2"/>
      <c r="S391" s="2"/>
      <c r="T391" s="2"/>
      <c r="U391" s="2"/>
      <c r="V391" s="2"/>
      <c r="W391" s="2"/>
      <c r="X391" s="2"/>
    </row>
    <row r="392" ht="15.75" customHeight="1">
      <c r="A392" s="1"/>
      <c r="B392" s="2"/>
      <c r="C392" s="81"/>
      <c r="D392" s="1"/>
      <c r="E392" s="2"/>
      <c r="F392" s="4"/>
      <c r="G392" s="4"/>
      <c r="H392" s="1"/>
      <c r="I392" s="2"/>
      <c r="J392" s="5"/>
      <c r="K392" s="5"/>
      <c r="L392" s="2"/>
      <c r="M392" s="1"/>
      <c r="N392" s="1"/>
      <c r="O392" s="1"/>
      <c r="P392" s="2"/>
      <c r="Q392" s="2"/>
      <c r="R392" s="2"/>
      <c r="S392" s="2"/>
      <c r="T392" s="2"/>
      <c r="U392" s="2"/>
      <c r="V392" s="2"/>
      <c r="W392" s="2"/>
      <c r="X392" s="2"/>
    </row>
    <row r="393" ht="15.75" customHeight="1">
      <c r="A393" s="1"/>
      <c r="B393" s="2"/>
      <c r="C393" s="81"/>
      <c r="D393" s="1"/>
      <c r="E393" s="2"/>
      <c r="F393" s="4"/>
      <c r="G393" s="4"/>
      <c r="H393" s="1"/>
      <c r="I393" s="2"/>
      <c r="J393" s="5"/>
      <c r="K393" s="5"/>
      <c r="L393" s="2"/>
      <c r="M393" s="1"/>
      <c r="N393" s="1"/>
      <c r="O393" s="1"/>
      <c r="P393" s="2"/>
      <c r="Q393" s="2"/>
      <c r="R393" s="2"/>
      <c r="S393" s="2"/>
      <c r="T393" s="2"/>
      <c r="U393" s="2"/>
      <c r="V393" s="2"/>
      <c r="W393" s="2"/>
      <c r="X393" s="2"/>
    </row>
    <row r="394" ht="15.75" customHeight="1">
      <c r="A394" s="1"/>
      <c r="B394" s="2"/>
      <c r="C394" s="81"/>
      <c r="D394" s="1"/>
      <c r="E394" s="2"/>
      <c r="F394" s="4"/>
      <c r="G394" s="4"/>
      <c r="H394" s="1"/>
      <c r="I394" s="2"/>
      <c r="J394" s="5"/>
      <c r="K394" s="5"/>
      <c r="L394" s="2"/>
      <c r="M394" s="1"/>
      <c r="N394" s="1"/>
      <c r="O394" s="1"/>
      <c r="P394" s="2"/>
      <c r="Q394" s="2"/>
      <c r="R394" s="2"/>
      <c r="S394" s="2"/>
      <c r="T394" s="2"/>
      <c r="U394" s="2"/>
      <c r="V394" s="2"/>
      <c r="W394" s="2"/>
      <c r="X394" s="2"/>
    </row>
    <row r="395" ht="15.75" customHeight="1">
      <c r="A395" s="1"/>
      <c r="B395" s="2"/>
      <c r="C395" s="81"/>
      <c r="D395" s="1"/>
      <c r="E395" s="2"/>
      <c r="F395" s="4"/>
      <c r="G395" s="4"/>
      <c r="H395" s="1"/>
      <c r="I395" s="2"/>
      <c r="J395" s="5"/>
      <c r="K395" s="5"/>
      <c r="L395" s="2"/>
      <c r="M395" s="1"/>
      <c r="N395" s="1"/>
      <c r="O395" s="1"/>
      <c r="P395" s="2"/>
      <c r="Q395" s="2"/>
      <c r="R395" s="2"/>
      <c r="S395" s="2"/>
      <c r="T395" s="2"/>
      <c r="U395" s="2"/>
      <c r="V395" s="2"/>
      <c r="W395" s="2"/>
      <c r="X395" s="2"/>
    </row>
    <row r="396" ht="15.75" customHeight="1">
      <c r="A396" s="1"/>
      <c r="B396" s="2"/>
      <c r="C396" s="81"/>
      <c r="D396" s="1"/>
      <c r="E396" s="2"/>
      <c r="F396" s="4"/>
      <c r="G396" s="4"/>
      <c r="H396" s="1"/>
      <c r="I396" s="2"/>
      <c r="J396" s="5"/>
      <c r="K396" s="5"/>
      <c r="L396" s="2"/>
      <c r="M396" s="1"/>
      <c r="N396" s="1"/>
      <c r="O396" s="1"/>
      <c r="P396" s="2"/>
      <c r="Q396" s="2"/>
      <c r="R396" s="2"/>
      <c r="S396" s="2"/>
      <c r="T396" s="2"/>
      <c r="U396" s="2"/>
      <c r="V396" s="2"/>
      <c r="W396" s="2"/>
      <c r="X396" s="2"/>
    </row>
    <row r="397" ht="15.75" customHeight="1">
      <c r="A397" s="1"/>
      <c r="B397" s="2"/>
      <c r="C397" s="81"/>
      <c r="D397" s="1"/>
      <c r="E397" s="2"/>
      <c r="F397" s="4"/>
      <c r="G397" s="4"/>
      <c r="H397" s="1"/>
      <c r="I397" s="2"/>
      <c r="J397" s="5"/>
      <c r="K397" s="5"/>
      <c r="L397" s="2"/>
      <c r="M397" s="1"/>
      <c r="N397" s="1"/>
      <c r="O397" s="1"/>
      <c r="P397" s="2"/>
      <c r="Q397" s="2"/>
      <c r="R397" s="2"/>
      <c r="S397" s="2"/>
      <c r="T397" s="2"/>
      <c r="U397" s="2"/>
      <c r="V397" s="2"/>
      <c r="W397" s="2"/>
      <c r="X397" s="2"/>
    </row>
    <row r="398" ht="15.75" customHeight="1">
      <c r="A398" s="1"/>
      <c r="B398" s="2"/>
      <c r="C398" s="81"/>
      <c r="D398" s="1"/>
      <c r="E398" s="2"/>
      <c r="F398" s="4"/>
      <c r="G398" s="4"/>
      <c r="H398" s="1"/>
      <c r="I398" s="2"/>
      <c r="J398" s="5"/>
      <c r="K398" s="5"/>
      <c r="L398" s="2"/>
      <c r="M398" s="1"/>
      <c r="N398" s="1"/>
      <c r="O398" s="1"/>
      <c r="P398" s="2"/>
      <c r="Q398" s="2"/>
      <c r="R398" s="2"/>
      <c r="S398" s="2"/>
      <c r="T398" s="2"/>
      <c r="U398" s="2"/>
      <c r="V398" s="2"/>
      <c r="W398" s="2"/>
      <c r="X398" s="2"/>
    </row>
    <row r="399" ht="15.75" customHeight="1">
      <c r="A399" s="1"/>
      <c r="B399" s="2"/>
      <c r="C399" s="81"/>
      <c r="D399" s="1"/>
      <c r="E399" s="2"/>
      <c r="F399" s="4"/>
      <c r="G399" s="4"/>
      <c r="H399" s="1"/>
      <c r="I399" s="2"/>
      <c r="J399" s="5"/>
      <c r="K399" s="5"/>
      <c r="L399" s="2"/>
      <c r="M399" s="1"/>
      <c r="N399" s="1"/>
      <c r="O399" s="1"/>
      <c r="P399" s="2"/>
      <c r="Q399" s="2"/>
      <c r="R399" s="2"/>
      <c r="S399" s="2"/>
      <c r="T399" s="2"/>
      <c r="U399" s="2"/>
      <c r="V399" s="2"/>
      <c r="W399" s="2"/>
      <c r="X399" s="2"/>
    </row>
    <row r="400" ht="15.75" customHeight="1">
      <c r="A400" s="1"/>
      <c r="B400" s="2"/>
      <c r="C400" s="81"/>
      <c r="D400" s="1"/>
      <c r="E400" s="2"/>
      <c r="F400" s="4"/>
      <c r="G400" s="4"/>
      <c r="H400" s="1"/>
      <c r="I400" s="2"/>
      <c r="J400" s="5"/>
      <c r="K400" s="5"/>
      <c r="L400" s="2"/>
      <c r="M400" s="1"/>
      <c r="N400" s="1"/>
      <c r="O400" s="1"/>
      <c r="P400" s="2"/>
      <c r="Q400" s="2"/>
      <c r="R400" s="2"/>
      <c r="S400" s="2"/>
      <c r="T400" s="2"/>
      <c r="U400" s="2"/>
      <c r="V400" s="2"/>
      <c r="W400" s="2"/>
      <c r="X400" s="2"/>
    </row>
    <row r="401" ht="15.75" customHeight="1">
      <c r="A401" s="1"/>
      <c r="B401" s="2"/>
      <c r="C401" s="81"/>
      <c r="D401" s="1"/>
      <c r="E401" s="2"/>
      <c r="F401" s="4"/>
      <c r="G401" s="4"/>
      <c r="H401" s="1"/>
      <c r="I401" s="2"/>
      <c r="J401" s="5"/>
      <c r="K401" s="5"/>
      <c r="L401" s="2"/>
      <c r="M401" s="1"/>
      <c r="N401" s="1"/>
      <c r="O401" s="1"/>
      <c r="P401" s="2"/>
      <c r="Q401" s="2"/>
      <c r="R401" s="2"/>
      <c r="S401" s="2"/>
      <c r="T401" s="2"/>
      <c r="U401" s="2"/>
      <c r="V401" s="2"/>
      <c r="W401" s="2"/>
      <c r="X401" s="2"/>
    </row>
    <row r="402" ht="15.75" customHeight="1">
      <c r="A402" s="1"/>
      <c r="B402" s="2"/>
      <c r="C402" s="81"/>
      <c r="D402" s="1"/>
      <c r="E402" s="2"/>
      <c r="F402" s="4"/>
      <c r="G402" s="4"/>
      <c r="H402" s="1"/>
      <c r="I402" s="2"/>
      <c r="J402" s="5"/>
      <c r="K402" s="5"/>
      <c r="L402" s="2"/>
      <c r="M402" s="1"/>
      <c r="N402" s="1"/>
      <c r="O402" s="1"/>
      <c r="P402" s="2"/>
      <c r="Q402" s="2"/>
      <c r="R402" s="2"/>
      <c r="S402" s="2"/>
      <c r="T402" s="2"/>
      <c r="U402" s="2"/>
      <c r="V402" s="2"/>
      <c r="W402" s="2"/>
      <c r="X402" s="2"/>
    </row>
    <row r="403" ht="15.75" customHeight="1">
      <c r="A403" s="1"/>
      <c r="B403" s="2"/>
      <c r="C403" s="81"/>
      <c r="D403" s="1"/>
      <c r="E403" s="2"/>
      <c r="F403" s="4"/>
      <c r="G403" s="4"/>
      <c r="H403" s="1"/>
      <c r="I403" s="2"/>
      <c r="J403" s="5"/>
      <c r="K403" s="5"/>
      <c r="L403" s="2"/>
      <c r="M403" s="1"/>
      <c r="N403" s="1"/>
      <c r="O403" s="1"/>
      <c r="P403" s="2"/>
      <c r="Q403" s="2"/>
      <c r="R403" s="2"/>
      <c r="S403" s="2"/>
      <c r="T403" s="2"/>
      <c r="U403" s="2"/>
      <c r="V403" s="2"/>
      <c r="W403" s="2"/>
      <c r="X403" s="2"/>
    </row>
    <row r="404" ht="15.75" customHeight="1">
      <c r="A404" s="1"/>
      <c r="B404" s="2"/>
      <c r="C404" s="81"/>
      <c r="D404" s="1"/>
      <c r="E404" s="2"/>
      <c r="F404" s="4"/>
      <c r="G404" s="4"/>
      <c r="H404" s="1"/>
      <c r="I404" s="2"/>
      <c r="J404" s="5"/>
      <c r="K404" s="5"/>
      <c r="L404" s="2"/>
      <c r="M404" s="1"/>
      <c r="N404" s="1"/>
      <c r="O404" s="1"/>
      <c r="P404" s="2"/>
      <c r="Q404" s="2"/>
      <c r="R404" s="2"/>
      <c r="S404" s="2"/>
      <c r="T404" s="2"/>
      <c r="U404" s="2"/>
      <c r="V404" s="2"/>
      <c r="W404" s="2"/>
      <c r="X404" s="2"/>
    </row>
    <row r="405" ht="15.75" customHeight="1">
      <c r="A405" s="1"/>
      <c r="B405" s="2"/>
      <c r="C405" s="81"/>
      <c r="D405" s="1"/>
      <c r="E405" s="2"/>
      <c r="F405" s="4"/>
      <c r="G405" s="4"/>
      <c r="H405" s="1"/>
      <c r="I405" s="2"/>
      <c r="J405" s="5"/>
      <c r="K405" s="5"/>
      <c r="L405" s="2"/>
      <c r="M405" s="1"/>
      <c r="N405" s="1"/>
      <c r="O405" s="1"/>
      <c r="P405" s="2"/>
      <c r="Q405" s="2"/>
      <c r="R405" s="2"/>
      <c r="S405" s="2"/>
      <c r="T405" s="2"/>
      <c r="U405" s="2"/>
      <c r="V405" s="2"/>
      <c r="W405" s="2"/>
      <c r="X405" s="2"/>
    </row>
    <row r="406" ht="15.75" customHeight="1">
      <c r="A406" s="1"/>
      <c r="B406" s="2"/>
      <c r="C406" s="81"/>
      <c r="D406" s="1"/>
      <c r="E406" s="2"/>
      <c r="F406" s="4"/>
      <c r="G406" s="4"/>
      <c r="H406" s="1"/>
      <c r="I406" s="2"/>
      <c r="J406" s="5"/>
      <c r="K406" s="5"/>
      <c r="L406" s="2"/>
      <c r="M406" s="1"/>
      <c r="N406" s="1"/>
      <c r="O406" s="1"/>
      <c r="P406" s="2"/>
      <c r="Q406" s="2"/>
      <c r="R406" s="2"/>
      <c r="S406" s="2"/>
      <c r="T406" s="2"/>
      <c r="U406" s="2"/>
      <c r="V406" s="2"/>
      <c r="W406" s="2"/>
      <c r="X406" s="2"/>
    </row>
    <row r="407" ht="15.75" customHeight="1">
      <c r="A407" s="1"/>
      <c r="B407" s="2"/>
      <c r="C407" s="81"/>
      <c r="D407" s="1"/>
      <c r="E407" s="2"/>
      <c r="F407" s="4"/>
      <c r="G407" s="4"/>
      <c r="H407" s="1"/>
      <c r="I407" s="2"/>
      <c r="J407" s="5"/>
      <c r="K407" s="5"/>
      <c r="L407" s="2"/>
      <c r="M407" s="1"/>
      <c r="N407" s="1"/>
      <c r="O407" s="1"/>
      <c r="P407" s="2"/>
      <c r="Q407" s="2"/>
      <c r="R407" s="2"/>
      <c r="S407" s="2"/>
      <c r="T407" s="2"/>
      <c r="U407" s="2"/>
      <c r="V407" s="2"/>
      <c r="W407" s="2"/>
      <c r="X407" s="2"/>
    </row>
    <row r="408" ht="15.75" customHeight="1">
      <c r="A408" s="1"/>
      <c r="B408" s="2"/>
      <c r="C408" s="81"/>
      <c r="D408" s="1"/>
      <c r="E408" s="2"/>
      <c r="F408" s="4"/>
      <c r="G408" s="4"/>
      <c r="H408" s="1"/>
      <c r="I408" s="2"/>
      <c r="J408" s="5"/>
      <c r="K408" s="5"/>
      <c r="L408" s="2"/>
      <c r="M408" s="1"/>
      <c r="N408" s="1"/>
      <c r="O408" s="1"/>
      <c r="P408" s="2"/>
      <c r="Q408" s="2"/>
      <c r="R408" s="2"/>
      <c r="S408" s="2"/>
      <c r="T408" s="2"/>
      <c r="U408" s="2"/>
      <c r="V408" s="2"/>
      <c r="W408" s="2"/>
      <c r="X408" s="2"/>
    </row>
    <row r="409" ht="15.75" customHeight="1">
      <c r="A409" s="1"/>
      <c r="B409" s="2"/>
      <c r="C409" s="81"/>
      <c r="D409" s="1"/>
      <c r="E409" s="2"/>
      <c r="F409" s="4"/>
      <c r="G409" s="4"/>
      <c r="H409" s="1"/>
      <c r="I409" s="2"/>
      <c r="J409" s="5"/>
      <c r="K409" s="5"/>
      <c r="L409" s="2"/>
      <c r="M409" s="1"/>
      <c r="N409" s="1"/>
      <c r="O409" s="1"/>
      <c r="P409" s="2"/>
      <c r="Q409" s="2"/>
      <c r="R409" s="2"/>
      <c r="S409" s="2"/>
      <c r="T409" s="2"/>
      <c r="U409" s="2"/>
      <c r="V409" s="2"/>
      <c r="W409" s="2"/>
      <c r="X409" s="2"/>
    </row>
    <row r="410" ht="15.75" customHeight="1">
      <c r="A410" s="1"/>
      <c r="B410" s="2"/>
      <c r="C410" s="81"/>
      <c r="D410" s="1"/>
      <c r="E410" s="2"/>
      <c r="F410" s="4"/>
      <c r="G410" s="4"/>
      <c r="H410" s="1"/>
      <c r="I410" s="2"/>
      <c r="J410" s="5"/>
      <c r="K410" s="5"/>
      <c r="L410" s="2"/>
      <c r="M410" s="1"/>
      <c r="N410" s="1"/>
      <c r="O410" s="1"/>
      <c r="P410" s="2"/>
      <c r="Q410" s="2"/>
      <c r="R410" s="2"/>
      <c r="S410" s="2"/>
      <c r="T410" s="2"/>
      <c r="U410" s="2"/>
      <c r="V410" s="2"/>
      <c r="W410" s="2"/>
      <c r="X410" s="2"/>
    </row>
    <row r="411" ht="15.75" customHeight="1">
      <c r="A411" s="1"/>
      <c r="B411" s="2"/>
      <c r="C411" s="81"/>
      <c r="D411" s="1"/>
      <c r="E411" s="2"/>
      <c r="F411" s="4"/>
      <c r="G411" s="4"/>
      <c r="H411" s="1"/>
      <c r="I411" s="2"/>
      <c r="J411" s="5"/>
      <c r="K411" s="5"/>
      <c r="L411" s="2"/>
      <c r="M411" s="1"/>
      <c r="N411" s="1"/>
      <c r="O411" s="1"/>
      <c r="P411" s="2"/>
      <c r="Q411" s="2"/>
      <c r="R411" s="2"/>
      <c r="S411" s="2"/>
      <c r="T411" s="2"/>
      <c r="U411" s="2"/>
      <c r="V411" s="2"/>
      <c r="W411" s="2"/>
      <c r="X411" s="2"/>
    </row>
    <row r="412" ht="15.75" customHeight="1">
      <c r="A412" s="1"/>
      <c r="B412" s="2"/>
      <c r="C412" s="81"/>
      <c r="D412" s="1"/>
      <c r="E412" s="2"/>
      <c r="F412" s="4"/>
      <c r="G412" s="4"/>
      <c r="H412" s="1"/>
      <c r="I412" s="2"/>
      <c r="J412" s="5"/>
      <c r="K412" s="5"/>
      <c r="L412" s="2"/>
      <c r="M412" s="1"/>
      <c r="N412" s="1"/>
      <c r="O412" s="1"/>
      <c r="P412" s="2"/>
      <c r="Q412" s="2"/>
      <c r="R412" s="2"/>
      <c r="S412" s="2"/>
      <c r="T412" s="2"/>
      <c r="U412" s="2"/>
      <c r="V412" s="2"/>
      <c r="W412" s="2"/>
      <c r="X412" s="2"/>
    </row>
    <row r="413" ht="15.75" customHeight="1">
      <c r="A413" s="1"/>
      <c r="B413" s="2"/>
      <c r="C413" s="81"/>
      <c r="D413" s="1"/>
      <c r="E413" s="2"/>
      <c r="F413" s="4"/>
      <c r="G413" s="4"/>
      <c r="H413" s="1"/>
      <c r="I413" s="2"/>
      <c r="J413" s="5"/>
      <c r="K413" s="5"/>
      <c r="L413" s="2"/>
      <c r="M413" s="1"/>
      <c r="N413" s="1"/>
      <c r="O413" s="1"/>
      <c r="P413" s="2"/>
      <c r="Q413" s="2"/>
      <c r="R413" s="2"/>
      <c r="S413" s="2"/>
      <c r="T413" s="2"/>
      <c r="U413" s="2"/>
      <c r="V413" s="2"/>
      <c r="W413" s="2"/>
      <c r="X413" s="2"/>
    </row>
    <row r="414" ht="15.75" customHeight="1">
      <c r="A414" s="1"/>
      <c r="B414" s="2"/>
      <c r="C414" s="81"/>
      <c r="D414" s="1"/>
      <c r="E414" s="2"/>
      <c r="F414" s="4"/>
      <c r="G414" s="4"/>
      <c r="H414" s="1"/>
      <c r="I414" s="2"/>
      <c r="J414" s="5"/>
      <c r="K414" s="5"/>
      <c r="L414" s="2"/>
      <c r="M414" s="1"/>
      <c r="N414" s="1"/>
      <c r="O414" s="1"/>
      <c r="P414" s="2"/>
      <c r="Q414" s="2"/>
      <c r="R414" s="2"/>
      <c r="S414" s="2"/>
      <c r="T414" s="2"/>
      <c r="U414" s="2"/>
      <c r="V414" s="2"/>
      <c r="W414" s="2"/>
      <c r="X414" s="2"/>
    </row>
    <row r="415" ht="15.75" customHeight="1">
      <c r="A415" s="1"/>
      <c r="B415" s="2"/>
      <c r="C415" s="81"/>
      <c r="D415" s="1"/>
      <c r="E415" s="2"/>
      <c r="F415" s="4"/>
      <c r="G415" s="4"/>
      <c r="H415" s="1"/>
      <c r="I415" s="2"/>
      <c r="J415" s="5"/>
      <c r="K415" s="5"/>
      <c r="L415" s="2"/>
      <c r="M415" s="1"/>
      <c r="N415" s="1"/>
      <c r="O415" s="1"/>
      <c r="P415" s="2"/>
      <c r="Q415" s="2"/>
      <c r="R415" s="2"/>
      <c r="S415" s="2"/>
      <c r="T415" s="2"/>
      <c r="U415" s="2"/>
      <c r="V415" s="2"/>
      <c r="W415" s="2"/>
      <c r="X415" s="2"/>
    </row>
    <row r="416" ht="15.75" customHeight="1">
      <c r="A416" s="1"/>
      <c r="B416" s="2"/>
      <c r="C416" s="81"/>
      <c r="D416" s="1"/>
      <c r="E416" s="2"/>
      <c r="F416" s="4"/>
      <c r="G416" s="4"/>
      <c r="H416" s="1"/>
      <c r="I416" s="2"/>
      <c r="J416" s="5"/>
      <c r="K416" s="5"/>
      <c r="L416" s="2"/>
      <c r="M416" s="1"/>
      <c r="N416" s="1"/>
      <c r="O416" s="1"/>
      <c r="P416" s="2"/>
      <c r="Q416" s="2"/>
      <c r="R416" s="2"/>
      <c r="S416" s="2"/>
      <c r="T416" s="2"/>
      <c r="U416" s="2"/>
      <c r="V416" s="2"/>
      <c r="W416" s="2"/>
      <c r="X416" s="2"/>
    </row>
    <row r="417" ht="15.75" customHeight="1">
      <c r="A417" s="1"/>
      <c r="B417" s="2"/>
      <c r="C417" s="81"/>
      <c r="D417" s="1"/>
      <c r="E417" s="2"/>
      <c r="F417" s="4"/>
      <c r="G417" s="4"/>
      <c r="H417" s="1"/>
      <c r="I417" s="2"/>
      <c r="J417" s="5"/>
      <c r="K417" s="5"/>
      <c r="L417" s="2"/>
      <c r="M417" s="1"/>
      <c r="N417" s="1"/>
      <c r="O417" s="1"/>
      <c r="P417" s="2"/>
      <c r="Q417" s="2"/>
      <c r="R417" s="2"/>
      <c r="S417" s="2"/>
      <c r="T417" s="2"/>
      <c r="U417" s="2"/>
      <c r="V417" s="2"/>
      <c r="W417" s="2"/>
      <c r="X417" s="2"/>
    </row>
    <row r="418" ht="15.75" customHeight="1">
      <c r="A418" s="1"/>
      <c r="B418" s="2"/>
      <c r="C418" s="81"/>
      <c r="D418" s="1"/>
      <c r="E418" s="2"/>
      <c r="F418" s="4"/>
      <c r="G418" s="4"/>
      <c r="H418" s="1"/>
      <c r="I418" s="2"/>
      <c r="J418" s="5"/>
      <c r="K418" s="5"/>
      <c r="L418" s="2"/>
      <c r="M418" s="1"/>
      <c r="N418" s="1"/>
      <c r="O418" s="1"/>
      <c r="P418" s="2"/>
      <c r="Q418" s="2"/>
      <c r="R418" s="2"/>
      <c r="S418" s="2"/>
      <c r="T418" s="2"/>
      <c r="U418" s="2"/>
      <c r="V418" s="2"/>
      <c r="W418" s="2"/>
      <c r="X418" s="2"/>
    </row>
    <row r="419" ht="15.75" customHeight="1">
      <c r="A419" s="1"/>
      <c r="B419" s="2"/>
      <c r="C419" s="81"/>
      <c r="D419" s="1"/>
      <c r="E419" s="2"/>
      <c r="F419" s="4"/>
      <c r="G419" s="4"/>
      <c r="H419" s="1"/>
      <c r="I419" s="2"/>
      <c r="J419" s="5"/>
      <c r="K419" s="5"/>
      <c r="L419" s="2"/>
      <c r="M419" s="1"/>
      <c r="N419" s="1"/>
      <c r="O419" s="1"/>
      <c r="P419" s="2"/>
      <c r="Q419" s="2"/>
      <c r="R419" s="2"/>
      <c r="S419" s="2"/>
      <c r="T419" s="2"/>
      <c r="U419" s="2"/>
      <c r="V419" s="2"/>
      <c r="W419" s="2"/>
      <c r="X419" s="2"/>
    </row>
    <row r="420" ht="15.75" customHeight="1">
      <c r="A420" s="1"/>
      <c r="B420" s="2"/>
      <c r="C420" s="81"/>
      <c r="D420" s="1"/>
      <c r="E420" s="2"/>
      <c r="F420" s="4"/>
      <c r="G420" s="4"/>
      <c r="H420" s="1"/>
      <c r="I420" s="2"/>
      <c r="J420" s="5"/>
      <c r="K420" s="5"/>
      <c r="L420" s="2"/>
      <c r="M420" s="1"/>
      <c r="N420" s="1"/>
      <c r="O420" s="1"/>
      <c r="P420" s="2"/>
      <c r="Q420" s="2"/>
      <c r="R420" s="2"/>
      <c r="S420" s="2"/>
      <c r="T420" s="2"/>
      <c r="U420" s="2"/>
      <c r="V420" s="2"/>
      <c r="W420" s="2"/>
      <c r="X420" s="2"/>
    </row>
    <row r="421" ht="15.75" customHeight="1">
      <c r="A421" s="1"/>
      <c r="B421" s="2"/>
      <c r="C421" s="81"/>
      <c r="D421" s="1"/>
      <c r="E421" s="2"/>
      <c r="F421" s="4"/>
      <c r="G421" s="4"/>
      <c r="H421" s="1"/>
      <c r="I421" s="2"/>
      <c r="J421" s="5"/>
      <c r="K421" s="5"/>
      <c r="L421" s="2"/>
      <c r="M421" s="1"/>
      <c r="N421" s="1"/>
      <c r="O421" s="1"/>
      <c r="P421" s="2"/>
      <c r="Q421" s="2"/>
      <c r="R421" s="2"/>
      <c r="S421" s="2"/>
      <c r="T421" s="2"/>
      <c r="U421" s="2"/>
      <c r="V421" s="2"/>
      <c r="W421" s="2"/>
      <c r="X421" s="2"/>
    </row>
    <row r="422" ht="15.75" customHeight="1">
      <c r="A422" s="1"/>
      <c r="B422" s="2"/>
      <c r="C422" s="81"/>
      <c r="D422" s="1"/>
      <c r="E422" s="2"/>
      <c r="F422" s="4"/>
      <c r="G422" s="4"/>
      <c r="H422" s="1"/>
      <c r="I422" s="2"/>
      <c r="J422" s="5"/>
      <c r="K422" s="5"/>
      <c r="L422" s="2"/>
      <c r="M422" s="1"/>
      <c r="N422" s="1"/>
      <c r="O422" s="1"/>
      <c r="P422" s="2"/>
      <c r="Q422" s="2"/>
      <c r="R422" s="2"/>
      <c r="S422" s="2"/>
      <c r="T422" s="2"/>
      <c r="U422" s="2"/>
      <c r="V422" s="2"/>
      <c r="W422" s="2"/>
      <c r="X422" s="2"/>
    </row>
    <row r="423" ht="15.75" customHeight="1">
      <c r="A423" s="1"/>
      <c r="B423" s="2"/>
      <c r="C423" s="81"/>
      <c r="D423" s="1"/>
      <c r="E423" s="2"/>
      <c r="F423" s="4"/>
      <c r="G423" s="4"/>
      <c r="H423" s="1"/>
      <c r="I423" s="2"/>
      <c r="J423" s="5"/>
      <c r="K423" s="5"/>
      <c r="L423" s="2"/>
      <c r="M423" s="1"/>
      <c r="N423" s="1"/>
      <c r="O423" s="1"/>
      <c r="P423" s="2"/>
      <c r="Q423" s="2"/>
      <c r="R423" s="2"/>
      <c r="S423" s="2"/>
      <c r="T423" s="2"/>
      <c r="U423" s="2"/>
      <c r="V423" s="2"/>
      <c r="W423" s="2"/>
      <c r="X423" s="2"/>
    </row>
    <row r="424" ht="15.75" customHeight="1">
      <c r="A424" s="1"/>
      <c r="B424" s="2"/>
      <c r="C424" s="81"/>
      <c r="D424" s="1"/>
      <c r="E424" s="2"/>
      <c r="F424" s="4"/>
      <c r="G424" s="4"/>
      <c r="H424" s="1"/>
      <c r="I424" s="2"/>
      <c r="J424" s="5"/>
      <c r="K424" s="5"/>
      <c r="L424" s="2"/>
      <c r="M424" s="1"/>
      <c r="N424" s="1"/>
      <c r="O424" s="1"/>
      <c r="P424" s="2"/>
      <c r="Q424" s="2"/>
      <c r="R424" s="2"/>
      <c r="S424" s="2"/>
      <c r="T424" s="2"/>
      <c r="U424" s="2"/>
      <c r="V424" s="2"/>
      <c r="W424" s="2"/>
      <c r="X424" s="2"/>
    </row>
    <row r="425" ht="15.75" customHeight="1">
      <c r="A425" s="1"/>
      <c r="B425" s="2"/>
      <c r="C425" s="81"/>
      <c r="D425" s="1"/>
      <c r="E425" s="2"/>
      <c r="F425" s="4"/>
      <c r="G425" s="4"/>
      <c r="H425" s="1"/>
      <c r="I425" s="2"/>
      <c r="J425" s="5"/>
      <c r="K425" s="5"/>
      <c r="L425" s="2"/>
      <c r="M425" s="1"/>
      <c r="N425" s="1"/>
      <c r="O425" s="1"/>
      <c r="P425" s="2"/>
      <c r="Q425" s="2"/>
      <c r="R425" s="2"/>
      <c r="S425" s="2"/>
      <c r="T425" s="2"/>
      <c r="U425" s="2"/>
      <c r="V425" s="2"/>
      <c r="W425" s="2"/>
      <c r="X425" s="2"/>
    </row>
    <row r="426" ht="15.75" customHeight="1">
      <c r="A426" s="1"/>
      <c r="B426" s="2"/>
      <c r="C426" s="81"/>
      <c r="D426" s="1"/>
      <c r="E426" s="2"/>
      <c r="F426" s="4"/>
      <c r="G426" s="4"/>
      <c r="H426" s="1"/>
      <c r="I426" s="2"/>
      <c r="J426" s="5"/>
      <c r="K426" s="5"/>
      <c r="L426" s="2"/>
      <c r="M426" s="1"/>
      <c r="N426" s="1"/>
      <c r="O426" s="1"/>
      <c r="P426" s="2"/>
      <c r="Q426" s="2"/>
      <c r="R426" s="2"/>
      <c r="S426" s="2"/>
      <c r="T426" s="2"/>
      <c r="U426" s="2"/>
      <c r="V426" s="2"/>
      <c r="W426" s="2"/>
      <c r="X426" s="2"/>
    </row>
    <row r="427" ht="15.75" customHeight="1">
      <c r="A427" s="1"/>
      <c r="B427" s="2"/>
      <c r="C427" s="81"/>
      <c r="D427" s="1"/>
      <c r="E427" s="2"/>
      <c r="F427" s="4"/>
      <c r="G427" s="4"/>
      <c r="H427" s="1"/>
      <c r="I427" s="2"/>
      <c r="J427" s="5"/>
      <c r="K427" s="5"/>
      <c r="L427" s="2"/>
      <c r="M427" s="1"/>
      <c r="N427" s="1"/>
      <c r="O427" s="1"/>
      <c r="P427" s="2"/>
      <c r="Q427" s="2"/>
      <c r="R427" s="2"/>
      <c r="S427" s="2"/>
      <c r="T427" s="2"/>
      <c r="U427" s="2"/>
      <c r="V427" s="2"/>
      <c r="W427" s="2"/>
      <c r="X427" s="2"/>
    </row>
    <row r="428" ht="15.75" customHeight="1">
      <c r="A428" s="1"/>
      <c r="B428" s="2"/>
      <c r="C428" s="81"/>
      <c r="D428" s="1"/>
      <c r="E428" s="2"/>
      <c r="F428" s="4"/>
      <c r="G428" s="4"/>
      <c r="H428" s="1"/>
      <c r="I428" s="2"/>
      <c r="J428" s="5"/>
      <c r="K428" s="5"/>
      <c r="L428" s="2"/>
      <c r="M428" s="1"/>
      <c r="N428" s="1"/>
      <c r="O428" s="1"/>
      <c r="P428" s="2"/>
      <c r="Q428" s="2"/>
      <c r="R428" s="2"/>
      <c r="S428" s="2"/>
      <c r="T428" s="2"/>
      <c r="U428" s="2"/>
      <c r="V428" s="2"/>
      <c r="W428" s="2"/>
      <c r="X428" s="2"/>
    </row>
    <row r="429" ht="15.75" customHeight="1">
      <c r="A429" s="1"/>
      <c r="B429" s="2"/>
      <c r="C429" s="81"/>
      <c r="D429" s="1"/>
      <c r="E429" s="2"/>
      <c r="F429" s="4"/>
      <c r="G429" s="4"/>
      <c r="H429" s="1"/>
      <c r="I429" s="2"/>
      <c r="J429" s="5"/>
      <c r="K429" s="5"/>
      <c r="L429" s="2"/>
      <c r="M429" s="1"/>
      <c r="N429" s="1"/>
      <c r="O429" s="1"/>
      <c r="P429" s="2"/>
      <c r="Q429" s="2"/>
      <c r="R429" s="2"/>
      <c r="S429" s="2"/>
      <c r="T429" s="2"/>
      <c r="U429" s="2"/>
      <c r="V429" s="2"/>
      <c r="W429" s="2"/>
      <c r="X429" s="2"/>
    </row>
    <row r="430" ht="15.75" customHeight="1">
      <c r="A430" s="1"/>
      <c r="B430" s="2"/>
      <c r="C430" s="81"/>
      <c r="D430" s="1"/>
      <c r="E430" s="2"/>
      <c r="F430" s="4"/>
      <c r="G430" s="4"/>
      <c r="H430" s="1"/>
      <c r="I430" s="2"/>
      <c r="J430" s="5"/>
      <c r="K430" s="5"/>
      <c r="L430" s="2"/>
      <c r="M430" s="1"/>
      <c r="N430" s="1"/>
      <c r="O430" s="1"/>
      <c r="P430" s="2"/>
      <c r="Q430" s="2"/>
      <c r="R430" s="2"/>
      <c r="S430" s="2"/>
      <c r="T430" s="2"/>
      <c r="U430" s="2"/>
      <c r="V430" s="2"/>
      <c r="W430" s="2"/>
      <c r="X430" s="2"/>
    </row>
    <row r="431" ht="15.75" customHeight="1">
      <c r="A431" s="1"/>
      <c r="B431" s="2"/>
      <c r="C431" s="81"/>
      <c r="D431" s="1"/>
      <c r="E431" s="2"/>
      <c r="F431" s="4"/>
      <c r="G431" s="4"/>
      <c r="H431" s="1"/>
      <c r="I431" s="2"/>
      <c r="J431" s="5"/>
      <c r="K431" s="5"/>
      <c r="L431" s="2"/>
      <c r="M431" s="1"/>
      <c r="N431" s="1"/>
      <c r="O431" s="1"/>
      <c r="P431" s="2"/>
      <c r="Q431" s="2"/>
      <c r="R431" s="2"/>
      <c r="S431" s="2"/>
      <c r="T431" s="2"/>
      <c r="U431" s="2"/>
      <c r="V431" s="2"/>
      <c r="W431" s="2"/>
      <c r="X431" s="2"/>
    </row>
    <row r="432" ht="15.75" customHeight="1">
      <c r="A432" s="1"/>
      <c r="B432" s="2"/>
      <c r="C432" s="81"/>
      <c r="D432" s="1"/>
      <c r="E432" s="2"/>
      <c r="F432" s="4"/>
      <c r="G432" s="4"/>
      <c r="H432" s="1"/>
      <c r="I432" s="2"/>
      <c r="J432" s="5"/>
      <c r="K432" s="5"/>
      <c r="L432" s="2"/>
      <c r="M432" s="1"/>
      <c r="N432" s="1"/>
      <c r="O432" s="1"/>
      <c r="P432" s="2"/>
      <c r="Q432" s="2"/>
      <c r="R432" s="2"/>
      <c r="S432" s="2"/>
      <c r="T432" s="2"/>
      <c r="U432" s="2"/>
      <c r="V432" s="2"/>
      <c r="W432" s="2"/>
      <c r="X432" s="2"/>
    </row>
    <row r="433" ht="15.75" customHeight="1">
      <c r="A433" s="1"/>
      <c r="B433" s="2"/>
      <c r="C433" s="81"/>
      <c r="D433" s="1"/>
      <c r="E433" s="2"/>
      <c r="F433" s="4"/>
      <c r="G433" s="4"/>
      <c r="H433" s="1"/>
      <c r="I433" s="2"/>
      <c r="J433" s="5"/>
      <c r="K433" s="5"/>
      <c r="L433" s="2"/>
      <c r="M433" s="1"/>
      <c r="N433" s="1"/>
      <c r="O433" s="1"/>
      <c r="P433" s="2"/>
      <c r="Q433" s="2"/>
      <c r="R433" s="2"/>
      <c r="S433" s="2"/>
      <c r="T433" s="2"/>
      <c r="U433" s="2"/>
      <c r="V433" s="2"/>
      <c r="W433" s="2"/>
      <c r="X433" s="2"/>
    </row>
    <row r="434" ht="15.75" customHeight="1">
      <c r="A434" s="1"/>
      <c r="B434" s="2"/>
      <c r="C434" s="81"/>
      <c r="D434" s="1"/>
      <c r="E434" s="2"/>
      <c r="F434" s="4"/>
      <c r="G434" s="4"/>
      <c r="H434" s="1"/>
      <c r="I434" s="2"/>
      <c r="J434" s="5"/>
      <c r="K434" s="5"/>
      <c r="L434" s="2"/>
      <c r="M434" s="1"/>
      <c r="N434" s="1"/>
      <c r="O434" s="1"/>
      <c r="P434" s="2"/>
      <c r="Q434" s="2"/>
      <c r="R434" s="2"/>
      <c r="S434" s="2"/>
      <c r="T434" s="2"/>
      <c r="U434" s="2"/>
      <c r="V434" s="2"/>
      <c r="W434" s="2"/>
      <c r="X434" s="2"/>
    </row>
    <row r="435" ht="15.75" customHeight="1">
      <c r="A435" s="1"/>
      <c r="B435" s="2"/>
      <c r="C435" s="81"/>
      <c r="D435" s="1"/>
      <c r="E435" s="2"/>
      <c r="F435" s="4"/>
      <c r="G435" s="4"/>
      <c r="H435" s="1"/>
      <c r="I435" s="2"/>
      <c r="J435" s="5"/>
      <c r="K435" s="5"/>
      <c r="L435" s="2"/>
      <c r="M435" s="1"/>
      <c r="N435" s="1"/>
      <c r="O435" s="1"/>
      <c r="P435" s="2"/>
      <c r="Q435" s="2"/>
      <c r="R435" s="2"/>
      <c r="S435" s="2"/>
      <c r="T435" s="2"/>
      <c r="U435" s="2"/>
      <c r="V435" s="2"/>
      <c r="W435" s="2"/>
      <c r="X435" s="2"/>
    </row>
    <row r="436" ht="15.75" customHeight="1">
      <c r="A436" s="1"/>
      <c r="B436" s="2"/>
      <c r="C436" s="81"/>
      <c r="D436" s="1"/>
      <c r="E436" s="2"/>
      <c r="F436" s="4"/>
      <c r="G436" s="4"/>
      <c r="H436" s="1"/>
      <c r="I436" s="2"/>
      <c r="J436" s="5"/>
      <c r="K436" s="5"/>
      <c r="L436" s="2"/>
      <c r="M436" s="1"/>
      <c r="N436" s="1"/>
      <c r="O436" s="1"/>
      <c r="P436" s="2"/>
      <c r="Q436" s="2"/>
      <c r="R436" s="2"/>
      <c r="S436" s="2"/>
      <c r="T436" s="2"/>
      <c r="U436" s="2"/>
      <c r="V436" s="2"/>
      <c r="W436" s="2"/>
      <c r="X436" s="2"/>
    </row>
    <row r="437" ht="15.75" customHeight="1">
      <c r="A437" s="1"/>
      <c r="B437" s="2"/>
      <c r="C437" s="81"/>
      <c r="D437" s="1"/>
      <c r="E437" s="2"/>
      <c r="F437" s="4"/>
      <c r="G437" s="4"/>
      <c r="H437" s="1"/>
      <c r="I437" s="2"/>
      <c r="J437" s="5"/>
      <c r="K437" s="5"/>
      <c r="L437" s="2"/>
      <c r="M437" s="1"/>
      <c r="N437" s="1"/>
      <c r="O437" s="1"/>
      <c r="P437" s="2"/>
      <c r="Q437" s="2"/>
      <c r="R437" s="2"/>
      <c r="S437" s="2"/>
      <c r="T437" s="2"/>
      <c r="U437" s="2"/>
      <c r="V437" s="2"/>
      <c r="W437" s="2"/>
      <c r="X437" s="2"/>
    </row>
    <row r="438" ht="15.75" customHeight="1">
      <c r="A438" s="1"/>
      <c r="B438" s="2"/>
      <c r="C438" s="81"/>
      <c r="D438" s="1"/>
      <c r="E438" s="2"/>
      <c r="F438" s="4"/>
      <c r="G438" s="4"/>
      <c r="H438" s="1"/>
      <c r="I438" s="2"/>
      <c r="J438" s="5"/>
      <c r="K438" s="5"/>
      <c r="L438" s="2"/>
      <c r="M438" s="1"/>
      <c r="N438" s="1"/>
      <c r="O438" s="1"/>
      <c r="P438" s="2"/>
      <c r="Q438" s="2"/>
      <c r="R438" s="2"/>
      <c r="S438" s="2"/>
      <c r="T438" s="2"/>
      <c r="U438" s="2"/>
      <c r="V438" s="2"/>
      <c r="W438" s="2"/>
      <c r="X438" s="2"/>
    </row>
    <row r="439" ht="15.75" customHeight="1">
      <c r="A439" s="1"/>
      <c r="B439" s="2"/>
      <c r="C439" s="81"/>
      <c r="D439" s="1"/>
      <c r="E439" s="2"/>
      <c r="F439" s="4"/>
      <c r="G439" s="4"/>
      <c r="H439" s="1"/>
      <c r="I439" s="2"/>
      <c r="J439" s="5"/>
      <c r="K439" s="5"/>
      <c r="L439" s="2"/>
      <c r="M439" s="1"/>
      <c r="N439" s="1"/>
      <c r="O439" s="1"/>
      <c r="P439" s="2"/>
      <c r="Q439" s="2"/>
      <c r="R439" s="2"/>
      <c r="S439" s="2"/>
      <c r="T439" s="2"/>
      <c r="U439" s="2"/>
      <c r="V439" s="2"/>
      <c r="W439" s="2"/>
      <c r="X439" s="2"/>
    </row>
    <row r="440" ht="15.75" customHeight="1">
      <c r="A440" s="1"/>
      <c r="B440" s="2"/>
      <c r="C440" s="81"/>
      <c r="D440" s="1"/>
      <c r="E440" s="2"/>
      <c r="F440" s="4"/>
      <c r="G440" s="4"/>
      <c r="H440" s="1"/>
      <c r="I440" s="2"/>
      <c r="J440" s="5"/>
      <c r="K440" s="5"/>
      <c r="L440" s="2"/>
      <c r="M440" s="1"/>
      <c r="N440" s="1"/>
      <c r="O440" s="1"/>
      <c r="P440" s="2"/>
      <c r="Q440" s="2"/>
      <c r="R440" s="2"/>
      <c r="S440" s="2"/>
      <c r="T440" s="2"/>
      <c r="U440" s="2"/>
      <c r="V440" s="2"/>
      <c r="W440" s="2"/>
      <c r="X440" s="2"/>
    </row>
    <row r="441" ht="15.75" customHeight="1">
      <c r="A441" s="1"/>
      <c r="B441" s="2"/>
      <c r="C441" s="81"/>
      <c r="D441" s="1"/>
      <c r="E441" s="2"/>
      <c r="F441" s="4"/>
      <c r="G441" s="4"/>
      <c r="H441" s="1"/>
      <c r="I441" s="2"/>
      <c r="J441" s="5"/>
      <c r="K441" s="5"/>
      <c r="L441" s="2"/>
      <c r="M441" s="1"/>
      <c r="N441" s="1"/>
      <c r="O441" s="1"/>
      <c r="P441" s="2"/>
      <c r="Q441" s="2"/>
      <c r="R441" s="2"/>
      <c r="S441" s="2"/>
      <c r="T441" s="2"/>
      <c r="U441" s="2"/>
      <c r="V441" s="2"/>
      <c r="W441" s="2"/>
      <c r="X441" s="2"/>
    </row>
    <row r="442" ht="15.75" customHeight="1">
      <c r="A442" s="1"/>
      <c r="B442" s="2"/>
      <c r="C442" s="81"/>
      <c r="D442" s="1"/>
      <c r="E442" s="2"/>
      <c r="F442" s="4"/>
      <c r="G442" s="4"/>
      <c r="H442" s="1"/>
      <c r="I442" s="2"/>
      <c r="J442" s="5"/>
      <c r="K442" s="5"/>
      <c r="L442" s="2"/>
      <c r="M442" s="1"/>
      <c r="N442" s="1"/>
      <c r="O442" s="1"/>
      <c r="P442" s="2"/>
      <c r="Q442" s="2"/>
      <c r="R442" s="2"/>
      <c r="S442" s="2"/>
      <c r="T442" s="2"/>
      <c r="U442" s="2"/>
      <c r="V442" s="2"/>
      <c r="W442" s="2"/>
      <c r="X442" s="2"/>
    </row>
    <row r="443" ht="15.75" customHeight="1">
      <c r="A443" s="1"/>
      <c r="B443" s="2"/>
      <c r="C443" s="81"/>
      <c r="D443" s="1"/>
      <c r="E443" s="2"/>
      <c r="F443" s="4"/>
      <c r="G443" s="4"/>
      <c r="H443" s="1"/>
      <c r="I443" s="2"/>
      <c r="J443" s="5"/>
      <c r="K443" s="5"/>
      <c r="L443" s="2"/>
      <c r="M443" s="1"/>
      <c r="N443" s="1"/>
      <c r="O443" s="1"/>
      <c r="P443" s="2"/>
      <c r="Q443" s="2"/>
      <c r="R443" s="2"/>
      <c r="S443" s="2"/>
      <c r="T443" s="2"/>
      <c r="U443" s="2"/>
      <c r="V443" s="2"/>
      <c r="W443" s="2"/>
      <c r="X443" s="2"/>
    </row>
    <row r="444" ht="15.75" customHeight="1">
      <c r="A444" s="1"/>
      <c r="B444" s="2"/>
      <c r="C444" s="81"/>
      <c r="D444" s="1"/>
      <c r="E444" s="2"/>
      <c r="F444" s="4"/>
      <c r="G444" s="4"/>
      <c r="H444" s="1"/>
      <c r="I444" s="2"/>
      <c r="J444" s="5"/>
      <c r="K444" s="5"/>
      <c r="L444" s="2"/>
      <c r="M444" s="1"/>
      <c r="N444" s="1"/>
      <c r="O444" s="1"/>
      <c r="P444" s="2"/>
      <c r="Q444" s="2"/>
      <c r="R444" s="2"/>
      <c r="S444" s="2"/>
      <c r="T444" s="2"/>
      <c r="U444" s="2"/>
      <c r="V444" s="2"/>
      <c r="W444" s="2"/>
      <c r="X444" s="2"/>
    </row>
    <row r="445" ht="15.75" customHeight="1">
      <c r="A445" s="1"/>
      <c r="B445" s="2"/>
      <c r="C445" s="81"/>
      <c r="D445" s="1"/>
      <c r="E445" s="2"/>
      <c r="F445" s="4"/>
      <c r="G445" s="4"/>
      <c r="H445" s="1"/>
      <c r="I445" s="2"/>
      <c r="J445" s="5"/>
      <c r="K445" s="5"/>
      <c r="L445" s="2"/>
      <c r="M445" s="1"/>
      <c r="N445" s="1"/>
      <c r="O445" s="1"/>
      <c r="P445" s="2"/>
      <c r="Q445" s="2"/>
      <c r="R445" s="2"/>
      <c r="S445" s="2"/>
      <c r="T445" s="2"/>
      <c r="U445" s="2"/>
      <c r="V445" s="2"/>
      <c r="W445" s="2"/>
      <c r="X445" s="2"/>
    </row>
    <row r="446" ht="15.75" customHeight="1">
      <c r="A446" s="1"/>
      <c r="B446" s="2"/>
      <c r="C446" s="81"/>
      <c r="D446" s="1"/>
      <c r="E446" s="2"/>
      <c r="F446" s="4"/>
      <c r="G446" s="4"/>
      <c r="H446" s="1"/>
      <c r="I446" s="2"/>
      <c r="J446" s="5"/>
      <c r="K446" s="5"/>
      <c r="L446" s="2"/>
      <c r="M446" s="1"/>
      <c r="N446" s="1"/>
      <c r="O446" s="1"/>
      <c r="P446" s="2"/>
      <c r="Q446" s="2"/>
      <c r="R446" s="2"/>
      <c r="S446" s="2"/>
      <c r="T446" s="2"/>
      <c r="U446" s="2"/>
      <c r="V446" s="2"/>
      <c r="W446" s="2"/>
      <c r="X446" s="2"/>
    </row>
    <row r="447" ht="15.75" customHeight="1">
      <c r="A447" s="1"/>
      <c r="B447" s="2"/>
      <c r="C447" s="81"/>
      <c r="D447" s="1"/>
      <c r="E447" s="2"/>
      <c r="F447" s="4"/>
      <c r="G447" s="4"/>
      <c r="H447" s="1"/>
      <c r="I447" s="2"/>
      <c r="J447" s="5"/>
      <c r="K447" s="5"/>
      <c r="L447" s="2"/>
      <c r="M447" s="1"/>
      <c r="N447" s="1"/>
      <c r="O447" s="1"/>
      <c r="P447" s="2"/>
      <c r="Q447" s="2"/>
      <c r="R447" s="2"/>
      <c r="S447" s="2"/>
      <c r="T447" s="2"/>
      <c r="U447" s="2"/>
      <c r="V447" s="2"/>
      <c r="W447" s="2"/>
      <c r="X447" s="2"/>
    </row>
    <row r="448" ht="15.75" customHeight="1">
      <c r="A448" s="1"/>
      <c r="B448" s="2"/>
      <c r="C448" s="81"/>
      <c r="D448" s="1"/>
      <c r="E448" s="2"/>
      <c r="F448" s="4"/>
      <c r="G448" s="4"/>
      <c r="H448" s="1"/>
      <c r="I448" s="2"/>
      <c r="J448" s="5"/>
      <c r="K448" s="5"/>
      <c r="L448" s="2"/>
      <c r="M448" s="1"/>
      <c r="N448" s="1"/>
      <c r="O448" s="1"/>
      <c r="P448" s="2"/>
      <c r="Q448" s="2"/>
      <c r="R448" s="2"/>
      <c r="S448" s="2"/>
      <c r="T448" s="2"/>
      <c r="U448" s="2"/>
      <c r="V448" s="2"/>
      <c r="W448" s="2"/>
      <c r="X448" s="2"/>
    </row>
    <row r="449" ht="15.75" customHeight="1">
      <c r="A449" s="1"/>
      <c r="B449" s="2"/>
      <c r="C449" s="81"/>
      <c r="D449" s="1"/>
      <c r="E449" s="2"/>
      <c r="F449" s="4"/>
      <c r="G449" s="4"/>
      <c r="H449" s="1"/>
      <c r="I449" s="2"/>
      <c r="J449" s="5"/>
      <c r="K449" s="5"/>
      <c r="L449" s="2"/>
      <c r="M449" s="1"/>
      <c r="N449" s="1"/>
      <c r="O449" s="1"/>
      <c r="P449" s="2"/>
      <c r="Q449" s="2"/>
      <c r="R449" s="2"/>
      <c r="S449" s="2"/>
      <c r="T449" s="2"/>
      <c r="U449" s="2"/>
      <c r="V449" s="2"/>
      <c r="W449" s="2"/>
      <c r="X449" s="2"/>
    </row>
    <row r="450" ht="15.75" customHeight="1">
      <c r="A450" s="1"/>
      <c r="B450" s="2"/>
      <c r="C450" s="81"/>
      <c r="D450" s="1"/>
      <c r="E450" s="2"/>
      <c r="F450" s="4"/>
      <c r="G450" s="4"/>
      <c r="H450" s="1"/>
      <c r="I450" s="2"/>
      <c r="J450" s="5"/>
      <c r="K450" s="5"/>
      <c r="L450" s="2"/>
      <c r="M450" s="1"/>
      <c r="N450" s="1"/>
      <c r="O450" s="1"/>
      <c r="P450" s="2"/>
      <c r="Q450" s="2"/>
      <c r="R450" s="2"/>
      <c r="S450" s="2"/>
      <c r="T450" s="2"/>
      <c r="U450" s="2"/>
      <c r="V450" s="2"/>
      <c r="W450" s="2"/>
      <c r="X450" s="2"/>
    </row>
    <row r="451" ht="15.75" customHeight="1">
      <c r="A451" s="1"/>
      <c r="B451" s="2"/>
      <c r="C451" s="81"/>
      <c r="D451" s="1"/>
      <c r="E451" s="2"/>
      <c r="F451" s="4"/>
      <c r="G451" s="4"/>
      <c r="H451" s="1"/>
      <c r="I451" s="2"/>
      <c r="J451" s="5"/>
      <c r="K451" s="5"/>
      <c r="L451" s="2"/>
      <c r="M451" s="1"/>
      <c r="N451" s="1"/>
      <c r="O451" s="1"/>
      <c r="P451" s="2"/>
      <c r="Q451" s="2"/>
      <c r="R451" s="2"/>
      <c r="S451" s="2"/>
      <c r="T451" s="2"/>
      <c r="U451" s="2"/>
      <c r="V451" s="2"/>
      <c r="W451" s="2"/>
      <c r="X451" s="2"/>
    </row>
    <row r="452" ht="15.75" customHeight="1">
      <c r="A452" s="1"/>
      <c r="B452" s="2"/>
      <c r="C452" s="81"/>
      <c r="D452" s="1"/>
      <c r="E452" s="2"/>
      <c r="F452" s="4"/>
      <c r="G452" s="4"/>
      <c r="H452" s="1"/>
      <c r="I452" s="2"/>
      <c r="J452" s="5"/>
      <c r="K452" s="5"/>
      <c r="L452" s="2"/>
      <c r="M452" s="1"/>
      <c r="N452" s="1"/>
      <c r="O452" s="1"/>
      <c r="P452" s="2"/>
      <c r="Q452" s="2"/>
      <c r="R452" s="2"/>
      <c r="S452" s="2"/>
      <c r="T452" s="2"/>
      <c r="U452" s="2"/>
      <c r="V452" s="2"/>
      <c r="W452" s="2"/>
      <c r="X452" s="2"/>
    </row>
    <row r="453" ht="15.75" customHeight="1">
      <c r="A453" s="1"/>
      <c r="B453" s="2"/>
      <c r="C453" s="81"/>
      <c r="D453" s="1"/>
      <c r="E453" s="2"/>
      <c r="F453" s="4"/>
      <c r="G453" s="4"/>
      <c r="H453" s="1"/>
      <c r="I453" s="2"/>
      <c r="J453" s="5"/>
      <c r="K453" s="5"/>
      <c r="L453" s="2"/>
      <c r="M453" s="1"/>
      <c r="N453" s="1"/>
      <c r="O453" s="1"/>
      <c r="P453" s="2"/>
      <c r="Q453" s="2"/>
      <c r="R453" s="2"/>
      <c r="S453" s="2"/>
      <c r="T453" s="2"/>
      <c r="U453" s="2"/>
      <c r="V453" s="2"/>
      <c r="W453" s="2"/>
      <c r="X453" s="2"/>
    </row>
    <row r="454" ht="15.75" customHeight="1">
      <c r="A454" s="1"/>
      <c r="B454" s="2"/>
      <c r="C454" s="81"/>
      <c r="D454" s="1"/>
      <c r="E454" s="2"/>
      <c r="F454" s="4"/>
      <c r="G454" s="4"/>
      <c r="H454" s="1"/>
      <c r="I454" s="2"/>
      <c r="J454" s="5"/>
      <c r="K454" s="5"/>
      <c r="L454" s="2"/>
      <c r="M454" s="1"/>
      <c r="N454" s="1"/>
      <c r="O454" s="1"/>
      <c r="P454" s="2"/>
      <c r="Q454" s="2"/>
      <c r="R454" s="2"/>
      <c r="S454" s="2"/>
      <c r="T454" s="2"/>
      <c r="U454" s="2"/>
      <c r="V454" s="2"/>
      <c r="W454" s="2"/>
      <c r="X454" s="2"/>
    </row>
    <row r="455" ht="15.75" customHeight="1">
      <c r="A455" s="1"/>
      <c r="B455" s="2"/>
      <c r="C455" s="81"/>
      <c r="D455" s="1"/>
      <c r="E455" s="2"/>
      <c r="F455" s="4"/>
      <c r="G455" s="4"/>
      <c r="H455" s="1"/>
      <c r="I455" s="2"/>
      <c r="J455" s="5"/>
      <c r="K455" s="5"/>
      <c r="L455" s="2"/>
      <c r="M455" s="1"/>
      <c r="N455" s="1"/>
      <c r="O455" s="1"/>
      <c r="P455" s="2"/>
      <c r="Q455" s="2"/>
      <c r="R455" s="2"/>
      <c r="S455" s="2"/>
      <c r="T455" s="2"/>
      <c r="U455" s="2"/>
      <c r="V455" s="2"/>
      <c r="W455" s="2"/>
      <c r="X455" s="2"/>
    </row>
    <row r="456" ht="15.75" customHeight="1">
      <c r="A456" s="1"/>
      <c r="B456" s="2"/>
      <c r="C456" s="81"/>
      <c r="D456" s="1"/>
      <c r="E456" s="2"/>
      <c r="F456" s="4"/>
      <c r="G456" s="4"/>
      <c r="H456" s="1"/>
      <c r="I456" s="2"/>
      <c r="J456" s="5"/>
      <c r="K456" s="5"/>
      <c r="L456" s="2"/>
      <c r="M456" s="1"/>
      <c r="N456" s="1"/>
      <c r="O456" s="1"/>
      <c r="P456" s="2"/>
      <c r="Q456" s="2"/>
      <c r="R456" s="2"/>
      <c r="S456" s="2"/>
      <c r="T456" s="2"/>
      <c r="U456" s="2"/>
      <c r="V456" s="2"/>
      <c r="W456" s="2"/>
      <c r="X456" s="2"/>
    </row>
    <row r="457" ht="15.75" customHeight="1">
      <c r="A457" s="1"/>
      <c r="B457" s="2"/>
      <c r="C457" s="81"/>
      <c r="D457" s="1"/>
      <c r="E457" s="2"/>
      <c r="F457" s="4"/>
      <c r="G457" s="4"/>
      <c r="H457" s="1"/>
      <c r="I457" s="2"/>
      <c r="J457" s="5"/>
      <c r="K457" s="5"/>
      <c r="L457" s="2"/>
      <c r="M457" s="1"/>
      <c r="N457" s="1"/>
      <c r="O457" s="1"/>
      <c r="P457" s="2"/>
      <c r="Q457" s="2"/>
      <c r="R457" s="2"/>
      <c r="S457" s="2"/>
      <c r="T457" s="2"/>
      <c r="U457" s="2"/>
      <c r="V457" s="2"/>
      <c r="W457" s="2"/>
      <c r="X457" s="2"/>
    </row>
    <row r="458" ht="15.75" customHeight="1">
      <c r="A458" s="1"/>
      <c r="B458" s="2"/>
      <c r="C458" s="81"/>
      <c r="D458" s="1"/>
      <c r="E458" s="2"/>
      <c r="F458" s="4"/>
      <c r="G458" s="4"/>
      <c r="H458" s="1"/>
      <c r="I458" s="2"/>
      <c r="J458" s="5"/>
      <c r="K458" s="5"/>
      <c r="L458" s="2"/>
      <c r="M458" s="1"/>
      <c r="N458" s="1"/>
      <c r="O458" s="1"/>
      <c r="P458" s="2"/>
      <c r="Q458" s="2"/>
      <c r="R458" s="2"/>
      <c r="S458" s="2"/>
      <c r="T458" s="2"/>
      <c r="U458" s="2"/>
      <c r="V458" s="2"/>
      <c r="W458" s="2"/>
      <c r="X458" s="2"/>
    </row>
    <row r="459" ht="15.75" customHeight="1">
      <c r="A459" s="1"/>
      <c r="B459" s="2"/>
      <c r="C459" s="81"/>
      <c r="D459" s="1"/>
      <c r="E459" s="2"/>
      <c r="F459" s="4"/>
      <c r="G459" s="4"/>
      <c r="H459" s="1"/>
      <c r="I459" s="2"/>
      <c r="J459" s="5"/>
      <c r="K459" s="5"/>
      <c r="L459" s="2"/>
      <c r="M459" s="1"/>
      <c r="N459" s="1"/>
      <c r="O459" s="1"/>
      <c r="P459" s="2"/>
      <c r="Q459" s="2"/>
      <c r="R459" s="2"/>
      <c r="S459" s="2"/>
      <c r="T459" s="2"/>
      <c r="U459" s="2"/>
      <c r="V459" s="2"/>
      <c r="W459" s="2"/>
      <c r="X459" s="2"/>
    </row>
    <row r="460" ht="15.75" customHeight="1">
      <c r="A460" s="1"/>
      <c r="B460" s="2"/>
      <c r="C460" s="81"/>
      <c r="D460" s="1"/>
      <c r="E460" s="2"/>
      <c r="F460" s="4"/>
      <c r="G460" s="4"/>
      <c r="H460" s="1"/>
      <c r="I460" s="2"/>
      <c r="J460" s="5"/>
      <c r="K460" s="5"/>
      <c r="L460" s="2"/>
      <c r="M460" s="1"/>
      <c r="N460" s="1"/>
      <c r="O460" s="1"/>
      <c r="P460" s="2"/>
      <c r="Q460" s="2"/>
      <c r="R460" s="2"/>
      <c r="S460" s="2"/>
      <c r="T460" s="2"/>
      <c r="U460" s="2"/>
      <c r="V460" s="2"/>
      <c r="W460" s="2"/>
      <c r="X460" s="2"/>
    </row>
    <row r="461" ht="15.75" customHeight="1">
      <c r="A461" s="1"/>
      <c r="B461" s="2"/>
      <c r="C461" s="81"/>
      <c r="D461" s="1"/>
      <c r="E461" s="2"/>
      <c r="F461" s="4"/>
      <c r="G461" s="4"/>
      <c r="H461" s="1"/>
      <c r="I461" s="2"/>
      <c r="J461" s="5"/>
      <c r="K461" s="5"/>
      <c r="L461" s="2"/>
      <c r="M461" s="1"/>
      <c r="N461" s="1"/>
      <c r="O461" s="1"/>
      <c r="P461" s="2"/>
      <c r="Q461" s="2"/>
      <c r="R461" s="2"/>
      <c r="S461" s="2"/>
      <c r="T461" s="2"/>
      <c r="U461" s="2"/>
      <c r="V461" s="2"/>
      <c r="W461" s="2"/>
      <c r="X461" s="2"/>
    </row>
    <row r="462" ht="15.75" customHeight="1">
      <c r="A462" s="1"/>
      <c r="B462" s="2"/>
      <c r="C462" s="81"/>
      <c r="D462" s="1"/>
      <c r="E462" s="2"/>
      <c r="F462" s="4"/>
      <c r="G462" s="4"/>
      <c r="H462" s="1"/>
      <c r="I462" s="2"/>
      <c r="J462" s="5"/>
      <c r="K462" s="5"/>
      <c r="L462" s="2"/>
      <c r="M462" s="1"/>
      <c r="N462" s="1"/>
      <c r="O462" s="1"/>
      <c r="P462" s="2"/>
      <c r="Q462" s="2"/>
      <c r="R462" s="2"/>
      <c r="S462" s="2"/>
      <c r="T462" s="2"/>
      <c r="U462" s="2"/>
      <c r="V462" s="2"/>
      <c r="W462" s="2"/>
      <c r="X462" s="2"/>
    </row>
    <row r="463" ht="15.75" customHeight="1">
      <c r="A463" s="1"/>
      <c r="B463" s="2"/>
      <c r="C463" s="81"/>
      <c r="D463" s="1"/>
      <c r="E463" s="2"/>
      <c r="F463" s="4"/>
      <c r="G463" s="4"/>
      <c r="H463" s="1"/>
      <c r="I463" s="2"/>
      <c r="J463" s="5"/>
      <c r="K463" s="5"/>
      <c r="L463" s="2"/>
      <c r="M463" s="1"/>
      <c r="N463" s="1"/>
      <c r="O463" s="1"/>
      <c r="P463" s="2"/>
      <c r="Q463" s="2"/>
      <c r="R463" s="2"/>
      <c r="S463" s="2"/>
      <c r="T463" s="2"/>
      <c r="U463" s="2"/>
      <c r="V463" s="2"/>
      <c r="W463" s="2"/>
      <c r="X463" s="2"/>
    </row>
    <row r="464" ht="15.75" customHeight="1">
      <c r="A464" s="1"/>
      <c r="B464" s="2"/>
      <c r="C464" s="81"/>
      <c r="D464" s="1"/>
      <c r="E464" s="2"/>
      <c r="F464" s="4"/>
      <c r="G464" s="4"/>
      <c r="H464" s="1"/>
      <c r="I464" s="2"/>
      <c r="J464" s="5"/>
      <c r="K464" s="5"/>
      <c r="L464" s="2"/>
      <c r="M464" s="1"/>
      <c r="N464" s="1"/>
      <c r="O464" s="1"/>
      <c r="P464" s="2"/>
      <c r="Q464" s="2"/>
      <c r="R464" s="2"/>
      <c r="S464" s="2"/>
      <c r="T464" s="2"/>
      <c r="U464" s="2"/>
      <c r="V464" s="2"/>
      <c r="W464" s="2"/>
      <c r="X464" s="2"/>
    </row>
    <row r="465" ht="15.75" customHeight="1">
      <c r="A465" s="1"/>
      <c r="B465" s="2"/>
      <c r="C465" s="81"/>
      <c r="D465" s="1"/>
      <c r="E465" s="2"/>
      <c r="F465" s="4"/>
      <c r="G465" s="4"/>
      <c r="H465" s="1"/>
      <c r="I465" s="2"/>
      <c r="J465" s="5"/>
      <c r="K465" s="5"/>
      <c r="L465" s="2"/>
      <c r="M465" s="1"/>
      <c r="N465" s="1"/>
      <c r="O465" s="1"/>
      <c r="P465" s="2"/>
      <c r="Q465" s="2"/>
      <c r="R465" s="2"/>
      <c r="S465" s="2"/>
      <c r="T465" s="2"/>
      <c r="U465" s="2"/>
      <c r="V465" s="2"/>
      <c r="W465" s="2"/>
      <c r="X465" s="2"/>
    </row>
    <row r="466" ht="15.75" customHeight="1">
      <c r="A466" s="1"/>
      <c r="B466" s="2"/>
      <c r="C466" s="81"/>
      <c r="D466" s="1"/>
      <c r="E466" s="2"/>
      <c r="F466" s="4"/>
      <c r="G466" s="4"/>
      <c r="H466" s="1"/>
      <c r="I466" s="2"/>
      <c r="J466" s="5"/>
      <c r="K466" s="5"/>
      <c r="L466" s="2"/>
      <c r="M466" s="1"/>
      <c r="N466" s="1"/>
      <c r="O466" s="1"/>
      <c r="P466" s="2"/>
      <c r="Q466" s="2"/>
      <c r="R466" s="2"/>
      <c r="S466" s="2"/>
      <c r="T466" s="2"/>
      <c r="U466" s="2"/>
      <c r="V466" s="2"/>
      <c r="W466" s="2"/>
      <c r="X466" s="2"/>
    </row>
    <row r="467" ht="15.75" customHeight="1">
      <c r="A467" s="1"/>
      <c r="B467" s="2"/>
      <c r="C467" s="81"/>
      <c r="D467" s="1"/>
      <c r="E467" s="2"/>
      <c r="F467" s="4"/>
      <c r="G467" s="4"/>
      <c r="H467" s="1"/>
      <c r="I467" s="2"/>
      <c r="J467" s="5"/>
      <c r="K467" s="5"/>
      <c r="L467" s="2"/>
      <c r="M467" s="1"/>
      <c r="N467" s="1"/>
      <c r="O467" s="1"/>
      <c r="P467" s="2"/>
      <c r="Q467" s="2"/>
      <c r="R467" s="2"/>
      <c r="S467" s="2"/>
      <c r="T467" s="2"/>
      <c r="U467" s="2"/>
      <c r="V467" s="2"/>
      <c r="W467" s="2"/>
      <c r="X467" s="2"/>
    </row>
    <row r="468" ht="15.75" customHeight="1">
      <c r="A468" s="1"/>
      <c r="B468" s="2"/>
      <c r="C468" s="81"/>
      <c r="D468" s="1"/>
      <c r="E468" s="2"/>
      <c r="F468" s="4"/>
      <c r="G468" s="4"/>
      <c r="H468" s="1"/>
      <c r="I468" s="2"/>
      <c r="J468" s="5"/>
      <c r="K468" s="5"/>
      <c r="L468" s="2"/>
      <c r="M468" s="1"/>
      <c r="N468" s="1"/>
      <c r="O468" s="1"/>
      <c r="P468" s="2"/>
      <c r="Q468" s="2"/>
      <c r="R468" s="2"/>
      <c r="S468" s="2"/>
      <c r="T468" s="2"/>
      <c r="U468" s="2"/>
      <c r="V468" s="2"/>
      <c r="W468" s="2"/>
      <c r="X468" s="2"/>
    </row>
    <row r="469" ht="15.75" customHeight="1">
      <c r="A469" s="1"/>
      <c r="B469" s="2"/>
      <c r="C469" s="81"/>
      <c r="D469" s="1"/>
      <c r="E469" s="2"/>
      <c r="F469" s="4"/>
      <c r="G469" s="4"/>
      <c r="H469" s="1"/>
      <c r="I469" s="2"/>
      <c r="J469" s="5"/>
      <c r="K469" s="5"/>
      <c r="L469" s="2"/>
      <c r="M469" s="1"/>
      <c r="N469" s="1"/>
      <c r="O469" s="1"/>
      <c r="P469" s="2"/>
      <c r="Q469" s="2"/>
      <c r="R469" s="2"/>
      <c r="S469" s="2"/>
      <c r="T469" s="2"/>
      <c r="U469" s="2"/>
      <c r="V469" s="2"/>
      <c r="W469" s="2"/>
      <c r="X469" s="2"/>
    </row>
    <row r="470" ht="15.75" customHeight="1">
      <c r="A470" s="1"/>
      <c r="B470" s="2"/>
      <c r="C470" s="81"/>
      <c r="D470" s="1"/>
      <c r="E470" s="2"/>
      <c r="F470" s="4"/>
      <c r="G470" s="4"/>
      <c r="H470" s="1"/>
      <c r="I470" s="2"/>
      <c r="J470" s="5"/>
      <c r="K470" s="5"/>
      <c r="L470" s="2"/>
      <c r="M470" s="1"/>
      <c r="N470" s="1"/>
      <c r="O470" s="1"/>
      <c r="P470" s="2"/>
      <c r="Q470" s="2"/>
      <c r="R470" s="2"/>
      <c r="S470" s="2"/>
      <c r="T470" s="2"/>
      <c r="U470" s="2"/>
      <c r="V470" s="2"/>
      <c r="W470" s="2"/>
      <c r="X470" s="2"/>
    </row>
    <row r="471" ht="15.75" customHeight="1">
      <c r="A471" s="1"/>
      <c r="B471" s="2"/>
      <c r="C471" s="81"/>
      <c r="D471" s="1"/>
      <c r="E471" s="2"/>
      <c r="F471" s="4"/>
      <c r="G471" s="4"/>
      <c r="H471" s="1"/>
      <c r="I471" s="2"/>
      <c r="J471" s="5"/>
      <c r="K471" s="5"/>
      <c r="L471" s="2"/>
      <c r="M471" s="1"/>
      <c r="N471" s="1"/>
      <c r="O471" s="1"/>
      <c r="P471" s="2"/>
      <c r="Q471" s="2"/>
      <c r="R471" s="2"/>
      <c r="S471" s="2"/>
      <c r="T471" s="2"/>
      <c r="U471" s="2"/>
      <c r="V471" s="2"/>
      <c r="W471" s="2"/>
      <c r="X471" s="2"/>
    </row>
    <row r="472" ht="15.75" customHeight="1">
      <c r="A472" s="1"/>
      <c r="B472" s="2"/>
      <c r="C472" s="81"/>
      <c r="D472" s="1"/>
      <c r="E472" s="2"/>
      <c r="F472" s="4"/>
      <c r="G472" s="4"/>
      <c r="H472" s="1"/>
      <c r="I472" s="2"/>
      <c r="J472" s="5"/>
      <c r="K472" s="5"/>
      <c r="L472" s="2"/>
      <c r="M472" s="1"/>
      <c r="N472" s="1"/>
      <c r="O472" s="1"/>
      <c r="P472" s="2"/>
      <c r="Q472" s="2"/>
      <c r="R472" s="2"/>
      <c r="S472" s="2"/>
      <c r="T472" s="2"/>
      <c r="U472" s="2"/>
      <c r="V472" s="2"/>
      <c r="W472" s="2"/>
      <c r="X472" s="2"/>
    </row>
    <row r="473" ht="15.75" customHeight="1">
      <c r="A473" s="1"/>
      <c r="B473" s="2"/>
      <c r="C473" s="81"/>
      <c r="D473" s="1"/>
      <c r="E473" s="2"/>
      <c r="F473" s="4"/>
      <c r="G473" s="4"/>
      <c r="H473" s="1"/>
      <c r="I473" s="2"/>
      <c r="J473" s="5"/>
      <c r="K473" s="5"/>
      <c r="L473" s="2"/>
      <c r="M473" s="1"/>
      <c r="N473" s="1"/>
      <c r="O473" s="1"/>
      <c r="P473" s="2"/>
      <c r="Q473" s="2"/>
      <c r="R473" s="2"/>
      <c r="S473" s="2"/>
      <c r="T473" s="2"/>
      <c r="U473" s="2"/>
      <c r="V473" s="2"/>
      <c r="W473" s="2"/>
      <c r="X473" s="2"/>
    </row>
    <row r="474" ht="15.75" customHeight="1">
      <c r="A474" s="1"/>
      <c r="B474" s="2"/>
      <c r="C474" s="81"/>
      <c r="D474" s="1"/>
      <c r="E474" s="2"/>
      <c r="F474" s="4"/>
      <c r="G474" s="4"/>
      <c r="H474" s="1"/>
      <c r="I474" s="2"/>
      <c r="J474" s="5"/>
      <c r="K474" s="5"/>
      <c r="L474" s="2"/>
      <c r="M474" s="1"/>
      <c r="N474" s="1"/>
      <c r="O474" s="1"/>
      <c r="P474" s="2"/>
      <c r="Q474" s="2"/>
      <c r="R474" s="2"/>
      <c r="S474" s="2"/>
      <c r="T474" s="2"/>
      <c r="U474" s="2"/>
      <c r="V474" s="2"/>
      <c r="W474" s="2"/>
      <c r="X474" s="2"/>
    </row>
    <row r="475" ht="15.75" customHeight="1">
      <c r="A475" s="1"/>
      <c r="B475" s="2"/>
      <c r="C475" s="81"/>
      <c r="D475" s="1"/>
      <c r="E475" s="2"/>
      <c r="F475" s="4"/>
      <c r="G475" s="4"/>
      <c r="H475" s="1"/>
      <c r="I475" s="2"/>
      <c r="J475" s="5"/>
      <c r="K475" s="5"/>
      <c r="L475" s="2"/>
      <c r="M475" s="1"/>
      <c r="N475" s="1"/>
      <c r="O475" s="1"/>
      <c r="P475" s="2"/>
      <c r="Q475" s="2"/>
      <c r="R475" s="2"/>
      <c r="S475" s="2"/>
      <c r="T475" s="2"/>
      <c r="U475" s="2"/>
      <c r="V475" s="2"/>
      <c r="W475" s="2"/>
      <c r="X475" s="2"/>
    </row>
    <row r="476" ht="15.75" customHeight="1">
      <c r="A476" s="1"/>
      <c r="B476" s="2"/>
      <c r="C476" s="81"/>
      <c r="D476" s="1"/>
      <c r="E476" s="2"/>
      <c r="F476" s="4"/>
      <c r="G476" s="4"/>
      <c r="H476" s="1"/>
      <c r="I476" s="2"/>
      <c r="J476" s="5"/>
      <c r="K476" s="5"/>
      <c r="L476" s="2"/>
      <c r="M476" s="1"/>
      <c r="N476" s="1"/>
      <c r="O476" s="1"/>
      <c r="P476" s="2"/>
      <c r="Q476" s="2"/>
      <c r="R476" s="2"/>
      <c r="S476" s="2"/>
      <c r="T476" s="2"/>
      <c r="U476" s="2"/>
      <c r="V476" s="2"/>
      <c r="W476" s="2"/>
      <c r="X476" s="2"/>
    </row>
    <row r="477" ht="15.75" customHeight="1">
      <c r="A477" s="1"/>
      <c r="B477" s="2"/>
      <c r="C477" s="81"/>
      <c r="D477" s="1"/>
      <c r="E477" s="2"/>
      <c r="F477" s="4"/>
      <c r="G477" s="4"/>
      <c r="H477" s="1"/>
      <c r="I477" s="2"/>
      <c r="J477" s="5"/>
      <c r="K477" s="5"/>
      <c r="L477" s="2"/>
      <c r="M477" s="1"/>
      <c r="N477" s="1"/>
      <c r="O477" s="1"/>
      <c r="P477" s="2"/>
      <c r="Q477" s="2"/>
      <c r="R477" s="2"/>
      <c r="S477" s="2"/>
      <c r="T477" s="2"/>
      <c r="U477" s="2"/>
      <c r="V477" s="2"/>
      <c r="W477" s="2"/>
      <c r="X477" s="2"/>
    </row>
    <row r="478" ht="15.75" customHeight="1">
      <c r="A478" s="1"/>
      <c r="B478" s="2"/>
      <c r="C478" s="81"/>
      <c r="D478" s="1"/>
      <c r="E478" s="2"/>
      <c r="F478" s="4"/>
      <c r="G478" s="4"/>
      <c r="H478" s="1"/>
      <c r="I478" s="2"/>
      <c r="J478" s="5"/>
      <c r="K478" s="5"/>
      <c r="L478" s="2"/>
      <c r="M478" s="1"/>
      <c r="N478" s="1"/>
      <c r="O478" s="1"/>
      <c r="P478" s="2"/>
      <c r="Q478" s="2"/>
      <c r="R478" s="2"/>
      <c r="S478" s="2"/>
      <c r="T478" s="2"/>
      <c r="U478" s="2"/>
      <c r="V478" s="2"/>
      <c r="W478" s="2"/>
      <c r="X478" s="2"/>
    </row>
    <row r="479" ht="15.75" customHeight="1">
      <c r="A479" s="1"/>
      <c r="B479" s="2"/>
      <c r="C479" s="81"/>
      <c r="D479" s="1"/>
      <c r="E479" s="2"/>
      <c r="F479" s="4"/>
      <c r="G479" s="4"/>
      <c r="H479" s="1"/>
      <c r="I479" s="2"/>
      <c r="J479" s="5"/>
      <c r="K479" s="5"/>
      <c r="L479" s="2"/>
      <c r="M479" s="1"/>
      <c r="N479" s="1"/>
      <c r="O479" s="1"/>
      <c r="P479" s="2"/>
      <c r="Q479" s="2"/>
      <c r="R479" s="2"/>
      <c r="S479" s="2"/>
      <c r="T479" s="2"/>
      <c r="U479" s="2"/>
      <c r="V479" s="2"/>
      <c r="W479" s="2"/>
      <c r="X479" s="2"/>
    </row>
    <row r="480" ht="15.75" customHeight="1">
      <c r="A480" s="1"/>
      <c r="B480" s="2"/>
      <c r="C480" s="81"/>
      <c r="D480" s="1"/>
      <c r="E480" s="2"/>
      <c r="F480" s="4"/>
      <c r="G480" s="4"/>
      <c r="H480" s="1"/>
      <c r="I480" s="2"/>
      <c r="J480" s="5"/>
      <c r="K480" s="5"/>
      <c r="L480" s="2"/>
      <c r="M480" s="1"/>
      <c r="N480" s="1"/>
      <c r="O480" s="1"/>
      <c r="P480" s="2"/>
      <c r="Q480" s="2"/>
      <c r="R480" s="2"/>
      <c r="S480" s="2"/>
      <c r="T480" s="2"/>
      <c r="U480" s="2"/>
      <c r="V480" s="2"/>
      <c r="W480" s="2"/>
      <c r="X480" s="2"/>
    </row>
    <row r="481" ht="15.75" customHeight="1">
      <c r="A481" s="1"/>
      <c r="B481" s="2"/>
      <c r="C481" s="81"/>
      <c r="D481" s="1"/>
      <c r="E481" s="2"/>
      <c r="F481" s="4"/>
      <c r="G481" s="4"/>
      <c r="H481" s="1"/>
      <c r="I481" s="2"/>
      <c r="J481" s="5"/>
      <c r="K481" s="5"/>
      <c r="L481" s="2"/>
      <c r="M481" s="1"/>
      <c r="N481" s="1"/>
      <c r="O481" s="1"/>
      <c r="P481" s="2"/>
      <c r="Q481" s="2"/>
      <c r="R481" s="2"/>
      <c r="S481" s="2"/>
      <c r="T481" s="2"/>
      <c r="U481" s="2"/>
      <c r="V481" s="2"/>
      <c r="W481" s="2"/>
      <c r="X481" s="2"/>
    </row>
    <row r="482" ht="15.75" customHeight="1">
      <c r="A482" s="1"/>
      <c r="B482" s="2"/>
      <c r="C482" s="81"/>
      <c r="D482" s="1"/>
      <c r="E482" s="2"/>
      <c r="F482" s="4"/>
      <c r="G482" s="4"/>
      <c r="H482" s="1"/>
      <c r="I482" s="2"/>
      <c r="J482" s="5"/>
      <c r="K482" s="5"/>
      <c r="L482" s="2"/>
      <c r="M482" s="1"/>
      <c r="N482" s="1"/>
      <c r="O482" s="1"/>
      <c r="P482" s="2"/>
      <c r="Q482" s="2"/>
      <c r="R482" s="2"/>
      <c r="S482" s="2"/>
      <c r="T482" s="2"/>
      <c r="U482" s="2"/>
      <c r="V482" s="2"/>
      <c r="W482" s="2"/>
      <c r="X482" s="2"/>
    </row>
    <row r="483" ht="15.75" customHeight="1">
      <c r="A483" s="1"/>
      <c r="B483" s="2"/>
      <c r="C483" s="81"/>
      <c r="D483" s="1"/>
      <c r="E483" s="2"/>
      <c r="F483" s="4"/>
      <c r="G483" s="4"/>
      <c r="H483" s="1"/>
      <c r="I483" s="2"/>
      <c r="J483" s="5"/>
      <c r="K483" s="5"/>
      <c r="L483" s="2"/>
      <c r="M483" s="1"/>
      <c r="N483" s="1"/>
      <c r="O483" s="1"/>
      <c r="P483" s="2"/>
      <c r="Q483" s="2"/>
      <c r="R483" s="2"/>
      <c r="S483" s="2"/>
      <c r="T483" s="2"/>
      <c r="U483" s="2"/>
      <c r="V483" s="2"/>
      <c r="W483" s="2"/>
      <c r="X483" s="2"/>
    </row>
    <row r="484" ht="15.75" customHeight="1">
      <c r="A484" s="1"/>
      <c r="B484" s="2"/>
      <c r="C484" s="81"/>
      <c r="D484" s="1"/>
      <c r="E484" s="2"/>
      <c r="F484" s="4"/>
      <c r="G484" s="4"/>
      <c r="H484" s="1"/>
      <c r="I484" s="2"/>
      <c r="J484" s="5"/>
      <c r="K484" s="5"/>
      <c r="L484" s="2"/>
      <c r="M484" s="1"/>
      <c r="N484" s="1"/>
      <c r="O484" s="1"/>
      <c r="P484" s="2"/>
      <c r="Q484" s="2"/>
      <c r="R484" s="2"/>
      <c r="S484" s="2"/>
      <c r="T484" s="2"/>
      <c r="U484" s="2"/>
      <c r="V484" s="2"/>
      <c r="W484" s="2"/>
      <c r="X484" s="2"/>
    </row>
    <row r="485" ht="15.75" customHeight="1">
      <c r="A485" s="1"/>
      <c r="B485" s="2"/>
      <c r="C485" s="81"/>
      <c r="D485" s="1"/>
      <c r="E485" s="2"/>
      <c r="F485" s="4"/>
      <c r="G485" s="4"/>
      <c r="H485" s="1"/>
      <c r="I485" s="2"/>
      <c r="J485" s="5"/>
      <c r="K485" s="5"/>
      <c r="L485" s="2"/>
      <c r="M485" s="1"/>
      <c r="N485" s="1"/>
      <c r="O485" s="1"/>
      <c r="P485" s="2"/>
      <c r="Q485" s="2"/>
      <c r="R485" s="2"/>
      <c r="S485" s="2"/>
      <c r="T485" s="2"/>
      <c r="U485" s="2"/>
      <c r="V485" s="2"/>
      <c r="W485" s="2"/>
      <c r="X485" s="2"/>
    </row>
    <row r="486" ht="15.75" customHeight="1">
      <c r="A486" s="1"/>
      <c r="B486" s="2"/>
      <c r="C486" s="81"/>
      <c r="D486" s="1"/>
      <c r="E486" s="2"/>
      <c r="F486" s="4"/>
      <c r="G486" s="4"/>
      <c r="H486" s="1"/>
      <c r="I486" s="2"/>
      <c r="J486" s="5"/>
      <c r="K486" s="5"/>
      <c r="L486" s="2"/>
      <c r="M486" s="1"/>
      <c r="N486" s="1"/>
      <c r="O486" s="1"/>
      <c r="P486" s="2"/>
      <c r="Q486" s="2"/>
      <c r="R486" s="2"/>
      <c r="S486" s="2"/>
      <c r="T486" s="2"/>
      <c r="U486" s="2"/>
      <c r="V486" s="2"/>
      <c r="W486" s="2"/>
      <c r="X486" s="2"/>
    </row>
    <row r="487" ht="15.75" customHeight="1">
      <c r="A487" s="1"/>
      <c r="B487" s="2"/>
      <c r="C487" s="81"/>
      <c r="D487" s="1"/>
      <c r="E487" s="2"/>
      <c r="F487" s="4"/>
      <c r="G487" s="4"/>
      <c r="H487" s="1"/>
      <c r="I487" s="2"/>
      <c r="J487" s="5"/>
      <c r="K487" s="5"/>
      <c r="L487" s="2"/>
      <c r="M487" s="1"/>
      <c r="N487" s="1"/>
      <c r="O487" s="1"/>
      <c r="P487" s="2"/>
      <c r="Q487" s="2"/>
      <c r="R487" s="2"/>
      <c r="S487" s="2"/>
      <c r="T487" s="2"/>
      <c r="U487" s="2"/>
      <c r="V487" s="2"/>
      <c r="W487" s="2"/>
      <c r="X487" s="2"/>
    </row>
    <row r="488" ht="15.75" customHeight="1">
      <c r="A488" s="1"/>
      <c r="B488" s="2"/>
      <c r="C488" s="81"/>
      <c r="D488" s="1"/>
      <c r="E488" s="2"/>
      <c r="F488" s="4"/>
      <c r="G488" s="4"/>
      <c r="H488" s="1"/>
      <c r="I488" s="2"/>
      <c r="J488" s="5"/>
      <c r="K488" s="5"/>
      <c r="L488" s="2"/>
      <c r="M488" s="1"/>
      <c r="N488" s="1"/>
      <c r="O488" s="1"/>
      <c r="P488" s="2"/>
      <c r="Q488" s="2"/>
      <c r="R488" s="2"/>
      <c r="S488" s="2"/>
      <c r="T488" s="2"/>
      <c r="U488" s="2"/>
      <c r="V488" s="2"/>
      <c r="W488" s="2"/>
      <c r="X488" s="2"/>
    </row>
    <row r="489" ht="15.75" customHeight="1">
      <c r="A489" s="1"/>
      <c r="B489" s="2"/>
      <c r="C489" s="81"/>
      <c r="D489" s="1"/>
      <c r="E489" s="2"/>
      <c r="F489" s="4"/>
      <c r="G489" s="4"/>
      <c r="H489" s="1"/>
      <c r="I489" s="2"/>
      <c r="J489" s="5"/>
      <c r="K489" s="5"/>
      <c r="L489" s="2"/>
      <c r="M489" s="1"/>
      <c r="N489" s="1"/>
      <c r="O489" s="1"/>
      <c r="P489" s="2"/>
      <c r="Q489" s="2"/>
      <c r="R489" s="2"/>
      <c r="S489" s="2"/>
      <c r="T489" s="2"/>
      <c r="U489" s="2"/>
      <c r="V489" s="2"/>
      <c r="W489" s="2"/>
      <c r="X489" s="2"/>
    </row>
    <row r="490" ht="15.75" customHeight="1">
      <c r="A490" s="1"/>
      <c r="B490" s="2"/>
      <c r="C490" s="81"/>
      <c r="D490" s="1"/>
      <c r="E490" s="2"/>
      <c r="F490" s="4"/>
      <c r="G490" s="4"/>
      <c r="H490" s="1"/>
      <c r="I490" s="2"/>
      <c r="J490" s="5"/>
      <c r="K490" s="5"/>
      <c r="L490" s="2"/>
      <c r="M490" s="1"/>
      <c r="N490" s="1"/>
      <c r="O490" s="1"/>
      <c r="P490" s="2"/>
      <c r="Q490" s="2"/>
      <c r="R490" s="2"/>
      <c r="S490" s="2"/>
      <c r="T490" s="2"/>
      <c r="U490" s="2"/>
      <c r="V490" s="2"/>
      <c r="W490" s="2"/>
      <c r="X490" s="2"/>
    </row>
    <row r="491" ht="15.75" customHeight="1">
      <c r="A491" s="1"/>
      <c r="B491" s="2"/>
      <c r="C491" s="81"/>
      <c r="D491" s="1"/>
      <c r="E491" s="2"/>
      <c r="F491" s="4"/>
      <c r="G491" s="4"/>
      <c r="H491" s="1"/>
      <c r="I491" s="2"/>
      <c r="J491" s="5"/>
      <c r="K491" s="5"/>
      <c r="L491" s="2"/>
      <c r="M491" s="1"/>
      <c r="N491" s="1"/>
      <c r="O491" s="1"/>
      <c r="P491" s="2"/>
      <c r="Q491" s="2"/>
      <c r="R491" s="2"/>
      <c r="S491" s="2"/>
      <c r="T491" s="2"/>
      <c r="U491" s="2"/>
      <c r="V491" s="2"/>
      <c r="W491" s="2"/>
      <c r="X491" s="2"/>
    </row>
    <row r="492" ht="15.75" customHeight="1">
      <c r="A492" s="1"/>
      <c r="B492" s="2"/>
      <c r="C492" s="81"/>
      <c r="D492" s="1"/>
      <c r="E492" s="2"/>
      <c r="F492" s="4"/>
      <c r="G492" s="4"/>
      <c r="H492" s="1"/>
      <c r="I492" s="2"/>
      <c r="J492" s="5"/>
      <c r="K492" s="5"/>
      <c r="L492" s="2"/>
      <c r="M492" s="1"/>
      <c r="N492" s="1"/>
      <c r="O492" s="1"/>
      <c r="P492" s="2"/>
      <c r="Q492" s="2"/>
      <c r="R492" s="2"/>
      <c r="S492" s="2"/>
      <c r="T492" s="2"/>
      <c r="U492" s="2"/>
      <c r="V492" s="2"/>
      <c r="W492" s="2"/>
      <c r="X492" s="2"/>
    </row>
    <row r="493" ht="15.75" customHeight="1">
      <c r="A493" s="1"/>
      <c r="B493" s="2"/>
      <c r="C493" s="81"/>
      <c r="D493" s="1"/>
      <c r="E493" s="2"/>
      <c r="F493" s="4"/>
      <c r="G493" s="4"/>
      <c r="H493" s="1"/>
      <c r="I493" s="2"/>
      <c r="J493" s="5"/>
      <c r="K493" s="5"/>
      <c r="L493" s="2"/>
      <c r="M493" s="1"/>
      <c r="N493" s="1"/>
      <c r="O493" s="1"/>
      <c r="P493" s="2"/>
      <c r="Q493" s="2"/>
      <c r="R493" s="2"/>
      <c r="S493" s="2"/>
      <c r="T493" s="2"/>
      <c r="U493" s="2"/>
      <c r="V493" s="2"/>
      <c r="W493" s="2"/>
      <c r="X493" s="2"/>
    </row>
    <row r="494" ht="15.75" customHeight="1">
      <c r="A494" s="1"/>
      <c r="B494" s="2"/>
      <c r="C494" s="81"/>
      <c r="D494" s="1"/>
      <c r="E494" s="2"/>
      <c r="F494" s="4"/>
      <c r="G494" s="4"/>
      <c r="H494" s="1"/>
      <c r="I494" s="2"/>
      <c r="J494" s="5"/>
      <c r="K494" s="5"/>
      <c r="L494" s="2"/>
      <c r="M494" s="1"/>
      <c r="N494" s="1"/>
      <c r="O494" s="1"/>
      <c r="P494" s="2"/>
      <c r="Q494" s="2"/>
      <c r="R494" s="2"/>
      <c r="S494" s="2"/>
      <c r="T494" s="2"/>
      <c r="U494" s="2"/>
      <c r="V494" s="2"/>
      <c r="W494" s="2"/>
      <c r="X494" s="2"/>
    </row>
    <row r="495" ht="15.75" customHeight="1">
      <c r="A495" s="1"/>
      <c r="B495" s="2"/>
      <c r="C495" s="81"/>
      <c r="D495" s="1"/>
      <c r="E495" s="2"/>
      <c r="F495" s="4"/>
      <c r="G495" s="4"/>
      <c r="H495" s="1"/>
      <c r="I495" s="2"/>
      <c r="J495" s="5"/>
      <c r="K495" s="5"/>
      <c r="L495" s="2"/>
      <c r="M495" s="1"/>
      <c r="N495" s="1"/>
      <c r="O495" s="1"/>
      <c r="P495" s="2"/>
      <c r="Q495" s="2"/>
      <c r="R495" s="2"/>
      <c r="S495" s="2"/>
      <c r="T495" s="2"/>
      <c r="U495" s="2"/>
      <c r="V495" s="2"/>
      <c r="W495" s="2"/>
      <c r="X495" s="2"/>
    </row>
    <row r="496" ht="15.75" customHeight="1">
      <c r="A496" s="1"/>
      <c r="B496" s="2"/>
      <c r="C496" s="81"/>
      <c r="D496" s="1"/>
      <c r="E496" s="2"/>
      <c r="F496" s="4"/>
      <c r="G496" s="4"/>
      <c r="H496" s="1"/>
      <c r="I496" s="2"/>
      <c r="J496" s="5"/>
      <c r="K496" s="5"/>
      <c r="L496" s="2"/>
      <c r="M496" s="1"/>
      <c r="N496" s="1"/>
      <c r="O496" s="1"/>
      <c r="P496" s="2"/>
      <c r="Q496" s="2"/>
      <c r="R496" s="2"/>
      <c r="S496" s="2"/>
      <c r="T496" s="2"/>
      <c r="U496" s="2"/>
      <c r="V496" s="2"/>
      <c r="W496" s="2"/>
      <c r="X496" s="2"/>
    </row>
    <row r="497" ht="15.75" customHeight="1">
      <c r="A497" s="1"/>
      <c r="B497" s="2"/>
      <c r="C497" s="81"/>
      <c r="D497" s="1"/>
      <c r="E497" s="2"/>
      <c r="F497" s="4"/>
      <c r="G497" s="4"/>
      <c r="H497" s="1"/>
      <c r="I497" s="2"/>
      <c r="J497" s="5"/>
      <c r="K497" s="5"/>
      <c r="L497" s="2"/>
      <c r="M497" s="1"/>
      <c r="N497" s="1"/>
      <c r="O497" s="1"/>
      <c r="P497" s="2"/>
      <c r="Q497" s="2"/>
      <c r="R497" s="2"/>
      <c r="S497" s="2"/>
      <c r="T497" s="2"/>
      <c r="U497" s="2"/>
      <c r="V497" s="2"/>
      <c r="W497" s="2"/>
      <c r="X497" s="2"/>
    </row>
    <row r="498" ht="15.75" customHeight="1">
      <c r="A498" s="1"/>
      <c r="B498" s="2"/>
      <c r="C498" s="81"/>
      <c r="D498" s="1"/>
      <c r="E498" s="2"/>
      <c r="F498" s="4"/>
      <c r="G498" s="4"/>
      <c r="H498" s="1"/>
      <c r="I498" s="2"/>
      <c r="J498" s="5"/>
      <c r="K498" s="5"/>
      <c r="L498" s="2"/>
      <c r="M498" s="1"/>
      <c r="N498" s="1"/>
      <c r="O498" s="1"/>
      <c r="P498" s="2"/>
      <c r="Q498" s="2"/>
      <c r="R498" s="2"/>
      <c r="S498" s="2"/>
      <c r="T498" s="2"/>
      <c r="U498" s="2"/>
      <c r="V498" s="2"/>
      <c r="W498" s="2"/>
      <c r="X498" s="2"/>
    </row>
    <row r="499" ht="15.75" customHeight="1">
      <c r="A499" s="1"/>
      <c r="B499" s="2"/>
      <c r="C499" s="81"/>
      <c r="D499" s="1"/>
      <c r="E499" s="2"/>
      <c r="F499" s="4"/>
      <c r="G499" s="4"/>
      <c r="H499" s="1"/>
      <c r="I499" s="2"/>
      <c r="J499" s="5"/>
      <c r="K499" s="5"/>
      <c r="L499" s="2"/>
      <c r="M499" s="1"/>
      <c r="N499" s="1"/>
      <c r="O499" s="1"/>
      <c r="P499" s="2"/>
      <c r="Q499" s="2"/>
      <c r="R499" s="2"/>
      <c r="S499" s="2"/>
      <c r="T499" s="2"/>
      <c r="U499" s="2"/>
      <c r="V499" s="2"/>
      <c r="W499" s="2"/>
      <c r="X499" s="2"/>
    </row>
    <row r="500" ht="15.75" customHeight="1">
      <c r="A500" s="1"/>
      <c r="B500" s="2"/>
      <c r="C500" s="81"/>
      <c r="D500" s="1"/>
      <c r="E500" s="2"/>
      <c r="F500" s="4"/>
      <c r="G500" s="4"/>
      <c r="H500" s="1"/>
      <c r="I500" s="2"/>
      <c r="J500" s="5"/>
      <c r="K500" s="5"/>
      <c r="L500" s="2"/>
      <c r="M500" s="1"/>
      <c r="N500" s="1"/>
      <c r="O500" s="1"/>
      <c r="P500" s="2"/>
      <c r="Q500" s="2"/>
      <c r="R500" s="2"/>
      <c r="S500" s="2"/>
      <c r="T500" s="2"/>
      <c r="U500" s="2"/>
      <c r="V500" s="2"/>
      <c r="W500" s="2"/>
      <c r="X500" s="2"/>
    </row>
    <row r="501" ht="15.75" customHeight="1">
      <c r="A501" s="1"/>
      <c r="B501" s="2"/>
      <c r="C501" s="81"/>
      <c r="D501" s="1"/>
      <c r="E501" s="2"/>
      <c r="F501" s="4"/>
      <c r="G501" s="4"/>
      <c r="H501" s="1"/>
      <c r="I501" s="2"/>
      <c r="J501" s="5"/>
      <c r="K501" s="5"/>
      <c r="L501" s="2"/>
      <c r="M501" s="1"/>
      <c r="N501" s="1"/>
      <c r="O501" s="1"/>
      <c r="P501" s="2"/>
      <c r="Q501" s="2"/>
      <c r="R501" s="2"/>
      <c r="S501" s="2"/>
      <c r="T501" s="2"/>
      <c r="U501" s="2"/>
      <c r="V501" s="2"/>
      <c r="W501" s="2"/>
      <c r="X501" s="2"/>
    </row>
    <row r="502" ht="15.75" customHeight="1">
      <c r="A502" s="1"/>
      <c r="B502" s="2"/>
      <c r="C502" s="81"/>
      <c r="D502" s="1"/>
      <c r="E502" s="2"/>
      <c r="F502" s="4"/>
      <c r="G502" s="4"/>
      <c r="H502" s="1"/>
      <c r="I502" s="2"/>
      <c r="J502" s="5"/>
      <c r="K502" s="5"/>
      <c r="L502" s="2"/>
      <c r="M502" s="1"/>
      <c r="N502" s="1"/>
      <c r="O502" s="1"/>
      <c r="P502" s="2"/>
      <c r="Q502" s="2"/>
      <c r="R502" s="2"/>
      <c r="S502" s="2"/>
      <c r="T502" s="2"/>
      <c r="U502" s="2"/>
      <c r="V502" s="2"/>
      <c r="W502" s="2"/>
      <c r="X502" s="2"/>
    </row>
    <row r="503" ht="15.75" customHeight="1">
      <c r="A503" s="1"/>
      <c r="B503" s="2"/>
      <c r="C503" s="81"/>
      <c r="D503" s="1"/>
      <c r="E503" s="2"/>
      <c r="F503" s="4"/>
      <c r="G503" s="4"/>
      <c r="H503" s="1"/>
      <c r="I503" s="2"/>
      <c r="J503" s="5"/>
      <c r="K503" s="5"/>
      <c r="L503" s="2"/>
      <c r="M503" s="1"/>
      <c r="N503" s="1"/>
      <c r="O503" s="1"/>
      <c r="P503" s="2"/>
      <c r="Q503" s="2"/>
      <c r="R503" s="2"/>
      <c r="S503" s="2"/>
      <c r="T503" s="2"/>
      <c r="U503" s="2"/>
      <c r="V503" s="2"/>
      <c r="W503" s="2"/>
      <c r="X503" s="2"/>
    </row>
    <row r="504" ht="15.75" customHeight="1">
      <c r="A504" s="1"/>
      <c r="B504" s="2"/>
      <c r="C504" s="81"/>
      <c r="D504" s="1"/>
      <c r="E504" s="2"/>
      <c r="F504" s="4"/>
      <c r="G504" s="4"/>
      <c r="H504" s="1"/>
      <c r="I504" s="2"/>
      <c r="J504" s="5"/>
      <c r="K504" s="5"/>
      <c r="L504" s="2"/>
      <c r="M504" s="1"/>
      <c r="N504" s="1"/>
      <c r="O504" s="1"/>
      <c r="P504" s="2"/>
      <c r="Q504" s="2"/>
      <c r="R504" s="2"/>
      <c r="S504" s="2"/>
      <c r="T504" s="2"/>
      <c r="U504" s="2"/>
      <c r="V504" s="2"/>
      <c r="W504" s="2"/>
      <c r="X504" s="2"/>
    </row>
    <row r="505" ht="15.75" customHeight="1">
      <c r="A505" s="1"/>
      <c r="B505" s="2"/>
      <c r="C505" s="81"/>
      <c r="D505" s="1"/>
      <c r="E505" s="2"/>
      <c r="F505" s="4"/>
      <c r="G505" s="4"/>
      <c r="H505" s="1"/>
      <c r="I505" s="2"/>
      <c r="J505" s="5"/>
      <c r="K505" s="5"/>
      <c r="L505" s="2"/>
      <c r="M505" s="1"/>
      <c r="N505" s="1"/>
      <c r="O505" s="1"/>
      <c r="P505" s="2"/>
      <c r="Q505" s="2"/>
      <c r="R505" s="2"/>
      <c r="S505" s="2"/>
      <c r="T505" s="2"/>
      <c r="U505" s="2"/>
      <c r="V505" s="2"/>
      <c r="W505" s="2"/>
      <c r="X505" s="2"/>
    </row>
    <row r="506" ht="15.75" customHeight="1">
      <c r="A506" s="1"/>
      <c r="B506" s="2"/>
      <c r="C506" s="81"/>
      <c r="D506" s="1"/>
      <c r="E506" s="2"/>
      <c r="F506" s="4"/>
      <c r="G506" s="4"/>
      <c r="H506" s="1"/>
      <c r="I506" s="2"/>
      <c r="J506" s="5"/>
      <c r="K506" s="5"/>
      <c r="L506" s="2"/>
      <c r="M506" s="1"/>
      <c r="N506" s="1"/>
      <c r="O506" s="1"/>
      <c r="P506" s="2"/>
      <c r="Q506" s="2"/>
      <c r="R506" s="2"/>
      <c r="S506" s="2"/>
      <c r="T506" s="2"/>
      <c r="U506" s="2"/>
      <c r="V506" s="2"/>
      <c r="W506" s="2"/>
      <c r="X506" s="2"/>
    </row>
    <row r="507" ht="15.75" customHeight="1">
      <c r="A507" s="1"/>
      <c r="B507" s="2"/>
      <c r="C507" s="81"/>
      <c r="D507" s="1"/>
      <c r="E507" s="2"/>
      <c r="F507" s="4"/>
      <c r="G507" s="4"/>
      <c r="H507" s="1"/>
      <c r="I507" s="2"/>
      <c r="J507" s="5"/>
      <c r="K507" s="5"/>
      <c r="L507" s="2"/>
      <c r="M507" s="1"/>
      <c r="N507" s="1"/>
      <c r="O507" s="1"/>
      <c r="P507" s="2"/>
      <c r="Q507" s="2"/>
      <c r="R507" s="2"/>
      <c r="S507" s="2"/>
      <c r="T507" s="2"/>
      <c r="U507" s="2"/>
      <c r="V507" s="2"/>
      <c r="W507" s="2"/>
      <c r="X507" s="2"/>
    </row>
    <row r="508" ht="15.75" customHeight="1">
      <c r="A508" s="1"/>
      <c r="B508" s="2"/>
      <c r="C508" s="81"/>
      <c r="D508" s="1"/>
      <c r="E508" s="2"/>
      <c r="F508" s="4"/>
      <c r="G508" s="4"/>
      <c r="H508" s="1"/>
      <c r="I508" s="2"/>
      <c r="J508" s="5"/>
      <c r="K508" s="5"/>
      <c r="L508" s="2"/>
      <c r="M508" s="1"/>
      <c r="N508" s="1"/>
      <c r="O508" s="1"/>
      <c r="P508" s="2"/>
      <c r="Q508" s="2"/>
      <c r="R508" s="2"/>
      <c r="S508" s="2"/>
      <c r="T508" s="2"/>
      <c r="U508" s="2"/>
      <c r="V508" s="2"/>
      <c r="W508" s="2"/>
      <c r="X508" s="2"/>
    </row>
    <row r="509" ht="15.75" customHeight="1">
      <c r="A509" s="1"/>
      <c r="B509" s="2"/>
      <c r="C509" s="81"/>
      <c r="D509" s="1"/>
      <c r="E509" s="2"/>
      <c r="F509" s="4"/>
      <c r="G509" s="4"/>
      <c r="H509" s="1"/>
      <c r="I509" s="2"/>
      <c r="J509" s="5"/>
      <c r="K509" s="5"/>
      <c r="L509" s="2"/>
      <c r="M509" s="1"/>
      <c r="N509" s="1"/>
      <c r="O509" s="1"/>
      <c r="P509" s="2"/>
      <c r="Q509" s="2"/>
      <c r="R509" s="2"/>
      <c r="S509" s="2"/>
      <c r="T509" s="2"/>
      <c r="U509" s="2"/>
      <c r="V509" s="2"/>
      <c r="W509" s="2"/>
      <c r="X509" s="2"/>
    </row>
    <row r="510" ht="15.75" customHeight="1">
      <c r="A510" s="1"/>
      <c r="B510" s="2"/>
      <c r="C510" s="81"/>
      <c r="D510" s="1"/>
      <c r="E510" s="2"/>
      <c r="F510" s="4"/>
      <c r="G510" s="4"/>
      <c r="H510" s="1"/>
      <c r="I510" s="2"/>
      <c r="J510" s="5"/>
      <c r="K510" s="5"/>
      <c r="L510" s="2"/>
      <c r="M510" s="1"/>
      <c r="N510" s="1"/>
      <c r="O510" s="1"/>
      <c r="P510" s="2"/>
      <c r="Q510" s="2"/>
      <c r="R510" s="2"/>
      <c r="S510" s="2"/>
      <c r="T510" s="2"/>
      <c r="U510" s="2"/>
      <c r="V510" s="2"/>
      <c r="W510" s="2"/>
      <c r="X510" s="2"/>
    </row>
    <row r="511" ht="15.75" customHeight="1">
      <c r="A511" s="1"/>
      <c r="B511" s="2"/>
      <c r="C511" s="81"/>
      <c r="D511" s="1"/>
      <c r="E511" s="2"/>
      <c r="F511" s="4"/>
      <c r="G511" s="4"/>
      <c r="H511" s="1"/>
      <c r="I511" s="2"/>
      <c r="J511" s="5"/>
      <c r="K511" s="5"/>
      <c r="L511" s="2"/>
      <c r="M511" s="1"/>
      <c r="N511" s="1"/>
      <c r="O511" s="1"/>
      <c r="P511" s="2"/>
      <c r="Q511" s="2"/>
      <c r="R511" s="2"/>
      <c r="S511" s="2"/>
      <c r="T511" s="2"/>
      <c r="U511" s="2"/>
      <c r="V511" s="2"/>
      <c r="W511" s="2"/>
      <c r="X511" s="2"/>
    </row>
    <row r="512" ht="15.75" customHeight="1">
      <c r="A512" s="1"/>
      <c r="B512" s="2"/>
      <c r="C512" s="81"/>
      <c r="D512" s="1"/>
      <c r="E512" s="2"/>
      <c r="F512" s="4"/>
      <c r="G512" s="4"/>
      <c r="H512" s="1"/>
      <c r="I512" s="2"/>
      <c r="J512" s="5"/>
      <c r="K512" s="5"/>
      <c r="L512" s="2"/>
      <c r="M512" s="1"/>
      <c r="N512" s="1"/>
      <c r="O512" s="1"/>
      <c r="P512" s="2"/>
      <c r="Q512" s="2"/>
      <c r="R512" s="2"/>
      <c r="S512" s="2"/>
      <c r="T512" s="2"/>
      <c r="U512" s="2"/>
      <c r="V512" s="2"/>
      <c r="W512" s="2"/>
      <c r="X512" s="2"/>
    </row>
    <row r="513" ht="15.75" customHeight="1">
      <c r="A513" s="1"/>
      <c r="B513" s="2"/>
      <c r="C513" s="81"/>
      <c r="D513" s="1"/>
      <c r="E513" s="2"/>
      <c r="F513" s="4"/>
      <c r="G513" s="4"/>
      <c r="H513" s="1"/>
      <c r="I513" s="2"/>
      <c r="J513" s="5"/>
      <c r="K513" s="5"/>
      <c r="L513" s="2"/>
      <c r="M513" s="1"/>
      <c r="N513" s="1"/>
      <c r="O513" s="1"/>
      <c r="P513" s="2"/>
      <c r="Q513" s="2"/>
      <c r="R513" s="2"/>
      <c r="S513" s="2"/>
      <c r="T513" s="2"/>
      <c r="U513" s="2"/>
      <c r="V513" s="2"/>
      <c r="W513" s="2"/>
      <c r="X513" s="2"/>
    </row>
    <row r="514" ht="15.75" customHeight="1">
      <c r="A514" s="1"/>
      <c r="B514" s="2"/>
      <c r="C514" s="81"/>
      <c r="D514" s="1"/>
      <c r="E514" s="2"/>
      <c r="F514" s="4"/>
      <c r="G514" s="4"/>
      <c r="H514" s="1"/>
      <c r="I514" s="2"/>
      <c r="J514" s="5"/>
      <c r="K514" s="5"/>
      <c r="L514" s="2"/>
      <c r="M514" s="1"/>
      <c r="N514" s="1"/>
      <c r="O514" s="1"/>
      <c r="P514" s="2"/>
      <c r="Q514" s="2"/>
      <c r="R514" s="2"/>
      <c r="S514" s="2"/>
      <c r="T514" s="2"/>
      <c r="U514" s="2"/>
      <c r="V514" s="2"/>
      <c r="W514" s="2"/>
      <c r="X514" s="2"/>
    </row>
    <row r="515" ht="15.75" customHeight="1">
      <c r="A515" s="1"/>
      <c r="B515" s="2"/>
      <c r="C515" s="81"/>
      <c r="D515" s="1"/>
      <c r="E515" s="2"/>
      <c r="F515" s="4"/>
      <c r="G515" s="4"/>
      <c r="H515" s="1"/>
      <c r="I515" s="2"/>
      <c r="J515" s="5"/>
      <c r="K515" s="5"/>
      <c r="L515" s="2"/>
      <c r="M515" s="1"/>
      <c r="N515" s="1"/>
      <c r="O515" s="1"/>
      <c r="P515" s="2"/>
      <c r="Q515" s="2"/>
      <c r="R515" s="2"/>
      <c r="S515" s="2"/>
      <c r="T515" s="2"/>
      <c r="U515" s="2"/>
      <c r="V515" s="2"/>
      <c r="W515" s="2"/>
      <c r="X515" s="2"/>
    </row>
    <row r="516" ht="15.75" customHeight="1">
      <c r="A516" s="1"/>
      <c r="B516" s="2"/>
      <c r="C516" s="81"/>
      <c r="D516" s="1"/>
      <c r="E516" s="2"/>
      <c r="F516" s="4"/>
      <c r="G516" s="4"/>
      <c r="H516" s="1"/>
      <c r="I516" s="2"/>
      <c r="J516" s="5"/>
      <c r="K516" s="5"/>
      <c r="L516" s="2"/>
      <c r="M516" s="1"/>
      <c r="N516" s="1"/>
      <c r="O516" s="1"/>
      <c r="P516" s="2"/>
      <c r="Q516" s="2"/>
      <c r="R516" s="2"/>
      <c r="S516" s="2"/>
      <c r="T516" s="2"/>
      <c r="U516" s="2"/>
      <c r="V516" s="2"/>
      <c r="W516" s="2"/>
      <c r="X516" s="2"/>
    </row>
    <row r="517" ht="15.75" customHeight="1">
      <c r="A517" s="1"/>
      <c r="B517" s="2"/>
      <c r="C517" s="81"/>
      <c r="D517" s="1"/>
      <c r="E517" s="2"/>
      <c r="F517" s="4"/>
      <c r="G517" s="4"/>
      <c r="H517" s="1"/>
      <c r="I517" s="2"/>
      <c r="J517" s="5"/>
      <c r="K517" s="5"/>
      <c r="L517" s="2"/>
      <c r="M517" s="1"/>
      <c r="N517" s="1"/>
      <c r="O517" s="1"/>
      <c r="P517" s="2"/>
      <c r="Q517" s="2"/>
      <c r="R517" s="2"/>
      <c r="S517" s="2"/>
      <c r="T517" s="2"/>
      <c r="U517" s="2"/>
      <c r="V517" s="2"/>
      <c r="W517" s="2"/>
      <c r="X517" s="2"/>
    </row>
    <row r="518" ht="15.75" customHeight="1">
      <c r="A518" s="1"/>
      <c r="B518" s="2"/>
      <c r="C518" s="81"/>
      <c r="D518" s="1"/>
      <c r="E518" s="2"/>
      <c r="F518" s="4"/>
      <c r="G518" s="4"/>
      <c r="H518" s="1"/>
      <c r="I518" s="2"/>
      <c r="J518" s="5"/>
      <c r="K518" s="5"/>
      <c r="L518" s="2"/>
      <c r="M518" s="1"/>
      <c r="N518" s="1"/>
      <c r="O518" s="1"/>
      <c r="P518" s="2"/>
      <c r="Q518" s="2"/>
      <c r="R518" s="2"/>
      <c r="S518" s="2"/>
      <c r="T518" s="2"/>
      <c r="U518" s="2"/>
      <c r="V518" s="2"/>
      <c r="W518" s="2"/>
      <c r="X518" s="2"/>
    </row>
    <row r="519" ht="15.75" customHeight="1">
      <c r="A519" s="1"/>
      <c r="B519" s="2"/>
      <c r="C519" s="81"/>
      <c r="D519" s="1"/>
      <c r="E519" s="2"/>
      <c r="F519" s="4"/>
      <c r="G519" s="4"/>
      <c r="H519" s="1"/>
      <c r="I519" s="2"/>
      <c r="J519" s="5"/>
      <c r="K519" s="5"/>
      <c r="L519" s="2"/>
      <c r="M519" s="1"/>
      <c r="N519" s="1"/>
      <c r="O519" s="1"/>
      <c r="P519" s="2"/>
      <c r="Q519" s="2"/>
      <c r="R519" s="2"/>
      <c r="S519" s="2"/>
      <c r="T519" s="2"/>
      <c r="U519" s="2"/>
      <c r="V519" s="2"/>
      <c r="W519" s="2"/>
      <c r="X519" s="2"/>
    </row>
    <row r="520" ht="15.75" customHeight="1">
      <c r="A520" s="1"/>
      <c r="B520" s="2"/>
      <c r="C520" s="81"/>
      <c r="D520" s="1"/>
      <c r="E520" s="2"/>
      <c r="F520" s="4"/>
      <c r="G520" s="4"/>
      <c r="H520" s="1"/>
      <c r="I520" s="2"/>
      <c r="J520" s="5"/>
      <c r="K520" s="5"/>
      <c r="L520" s="2"/>
      <c r="M520" s="1"/>
      <c r="N520" s="1"/>
      <c r="O520" s="1"/>
      <c r="P520" s="2"/>
      <c r="Q520" s="2"/>
      <c r="R520" s="2"/>
      <c r="S520" s="2"/>
      <c r="T520" s="2"/>
      <c r="U520" s="2"/>
      <c r="V520" s="2"/>
      <c r="W520" s="2"/>
      <c r="X520" s="2"/>
    </row>
    <row r="521" ht="15.75" customHeight="1">
      <c r="A521" s="1"/>
      <c r="B521" s="2"/>
      <c r="C521" s="81"/>
      <c r="D521" s="1"/>
      <c r="E521" s="2"/>
      <c r="F521" s="4"/>
      <c r="G521" s="4"/>
      <c r="H521" s="1"/>
      <c r="I521" s="2"/>
      <c r="J521" s="5"/>
      <c r="K521" s="5"/>
      <c r="L521" s="2"/>
      <c r="M521" s="1"/>
      <c r="N521" s="1"/>
      <c r="O521" s="1"/>
      <c r="P521" s="2"/>
      <c r="Q521" s="2"/>
      <c r="R521" s="2"/>
      <c r="S521" s="2"/>
      <c r="T521" s="2"/>
      <c r="U521" s="2"/>
      <c r="V521" s="2"/>
      <c r="W521" s="2"/>
      <c r="X521" s="2"/>
    </row>
    <row r="522" ht="15.75" customHeight="1">
      <c r="A522" s="1"/>
      <c r="B522" s="2"/>
      <c r="C522" s="81"/>
      <c r="D522" s="1"/>
      <c r="E522" s="2"/>
      <c r="F522" s="4"/>
      <c r="G522" s="4"/>
      <c r="H522" s="1"/>
      <c r="I522" s="2"/>
      <c r="J522" s="5"/>
      <c r="K522" s="5"/>
      <c r="L522" s="2"/>
      <c r="M522" s="1"/>
      <c r="N522" s="1"/>
      <c r="O522" s="1"/>
      <c r="P522" s="2"/>
      <c r="Q522" s="2"/>
      <c r="R522" s="2"/>
      <c r="S522" s="2"/>
      <c r="T522" s="2"/>
      <c r="U522" s="2"/>
      <c r="V522" s="2"/>
      <c r="W522" s="2"/>
      <c r="X522" s="2"/>
    </row>
    <row r="523" ht="15.75" customHeight="1">
      <c r="A523" s="1"/>
      <c r="B523" s="2"/>
      <c r="C523" s="81"/>
      <c r="D523" s="1"/>
      <c r="E523" s="2"/>
      <c r="F523" s="4"/>
      <c r="G523" s="4"/>
      <c r="H523" s="1"/>
      <c r="I523" s="2"/>
      <c r="J523" s="5"/>
      <c r="K523" s="5"/>
      <c r="L523" s="2"/>
      <c r="M523" s="1"/>
      <c r="N523" s="1"/>
      <c r="O523" s="1"/>
      <c r="P523" s="2"/>
      <c r="Q523" s="2"/>
      <c r="R523" s="2"/>
      <c r="S523" s="2"/>
      <c r="T523" s="2"/>
      <c r="U523" s="2"/>
      <c r="V523" s="2"/>
      <c r="W523" s="2"/>
      <c r="X523" s="2"/>
    </row>
    <row r="524" ht="15.75" customHeight="1">
      <c r="A524" s="1"/>
      <c r="B524" s="2"/>
      <c r="C524" s="81"/>
      <c r="D524" s="1"/>
      <c r="E524" s="2"/>
      <c r="F524" s="4"/>
      <c r="G524" s="4"/>
      <c r="H524" s="1"/>
      <c r="I524" s="2"/>
      <c r="J524" s="5"/>
      <c r="K524" s="5"/>
      <c r="L524" s="2"/>
      <c r="M524" s="1"/>
      <c r="N524" s="1"/>
      <c r="O524" s="1"/>
      <c r="P524" s="2"/>
      <c r="Q524" s="2"/>
      <c r="R524" s="2"/>
      <c r="S524" s="2"/>
      <c r="T524" s="2"/>
      <c r="U524" s="2"/>
      <c r="V524" s="2"/>
      <c r="W524" s="2"/>
      <c r="X524" s="2"/>
    </row>
    <row r="525" ht="15.75" customHeight="1">
      <c r="A525" s="1"/>
      <c r="B525" s="2"/>
      <c r="C525" s="81"/>
      <c r="D525" s="1"/>
      <c r="E525" s="2"/>
      <c r="F525" s="4"/>
      <c r="G525" s="4"/>
      <c r="H525" s="1"/>
      <c r="I525" s="2"/>
      <c r="J525" s="5"/>
      <c r="K525" s="5"/>
      <c r="L525" s="2"/>
      <c r="M525" s="1"/>
      <c r="N525" s="1"/>
      <c r="O525" s="1"/>
      <c r="P525" s="2"/>
      <c r="Q525" s="2"/>
      <c r="R525" s="2"/>
      <c r="S525" s="2"/>
      <c r="T525" s="2"/>
      <c r="U525" s="2"/>
      <c r="V525" s="2"/>
      <c r="W525" s="2"/>
      <c r="X525" s="2"/>
    </row>
    <row r="526" ht="15.75" customHeight="1">
      <c r="A526" s="1"/>
      <c r="B526" s="2"/>
      <c r="C526" s="81"/>
      <c r="D526" s="1"/>
      <c r="E526" s="2"/>
      <c r="F526" s="4"/>
      <c r="G526" s="4"/>
      <c r="H526" s="1"/>
      <c r="I526" s="2"/>
      <c r="J526" s="5"/>
      <c r="K526" s="5"/>
      <c r="L526" s="2"/>
      <c r="M526" s="1"/>
      <c r="N526" s="1"/>
      <c r="O526" s="1"/>
      <c r="P526" s="2"/>
      <c r="Q526" s="2"/>
      <c r="R526" s="2"/>
      <c r="S526" s="2"/>
      <c r="T526" s="2"/>
      <c r="U526" s="2"/>
      <c r="V526" s="2"/>
      <c r="W526" s="2"/>
      <c r="X526" s="2"/>
    </row>
    <row r="527" ht="15.75" customHeight="1">
      <c r="A527" s="1"/>
      <c r="B527" s="2"/>
      <c r="C527" s="81"/>
      <c r="D527" s="1"/>
      <c r="E527" s="2"/>
      <c r="F527" s="4"/>
      <c r="G527" s="4"/>
      <c r="H527" s="1"/>
      <c r="I527" s="2"/>
      <c r="J527" s="5"/>
      <c r="K527" s="5"/>
      <c r="L527" s="2"/>
      <c r="M527" s="1"/>
      <c r="N527" s="1"/>
      <c r="O527" s="1"/>
      <c r="P527" s="2"/>
      <c r="Q527" s="2"/>
      <c r="R527" s="2"/>
      <c r="S527" s="2"/>
      <c r="T527" s="2"/>
      <c r="U527" s="2"/>
      <c r="V527" s="2"/>
      <c r="W527" s="2"/>
      <c r="X527" s="2"/>
    </row>
    <row r="528" ht="15.75" customHeight="1">
      <c r="A528" s="1"/>
      <c r="B528" s="2"/>
      <c r="C528" s="81"/>
      <c r="D528" s="1"/>
      <c r="E528" s="2"/>
      <c r="F528" s="4"/>
      <c r="G528" s="4"/>
      <c r="H528" s="1"/>
      <c r="I528" s="2"/>
      <c r="J528" s="5"/>
      <c r="K528" s="5"/>
      <c r="L528" s="2"/>
      <c r="M528" s="1"/>
      <c r="N528" s="1"/>
      <c r="O528" s="1"/>
      <c r="P528" s="2"/>
      <c r="Q528" s="2"/>
      <c r="R528" s="2"/>
      <c r="S528" s="2"/>
      <c r="T528" s="2"/>
      <c r="U528" s="2"/>
      <c r="V528" s="2"/>
      <c r="W528" s="2"/>
      <c r="X528" s="2"/>
    </row>
    <row r="529" ht="15.75" customHeight="1">
      <c r="A529" s="1"/>
      <c r="B529" s="2"/>
      <c r="C529" s="81"/>
      <c r="D529" s="1"/>
      <c r="E529" s="2"/>
      <c r="F529" s="4"/>
      <c r="G529" s="4"/>
      <c r="H529" s="1"/>
      <c r="I529" s="2"/>
      <c r="J529" s="5"/>
      <c r="K529" s="5"/>
      <c r="L529" s="2"/>
      <c r="M529" s="1"/>
      <c r="N529" s="1"/>
      <c r="O529" s="1"/>
      <c r="P529" s="2"/>
      <c r="Q529" s="2"/>
      <c r="R529" s="2"/>
      <c r="S529" s="2"/>
      <c r="T529" s="2"/>
      <c r="U529" s="2"/>
      <c r="V529" s="2"/>
      <c r="W529" s="2"/>
      <c r="X529" s="2"/>
    </row>
    <row r="530" ht="15.75" customHeight="1">
      <c r="A530" s="1"/>
      <c r="B530" s="2"/>
      <c r="C530" s="81"/>
      <c r="D530" s="1"/>
      <c r="E530" s="2"/>
      <c r="F530" s="4"/>
      <c r="G530" s="4"/>
      <c r="H530" s="1"/>
      <c r="I530" s="2"/>
      <c r="J530" s="5"/>
      <c r="K530" s="5"/>
      <c r="L530" s="2"/>
      <c r="M530" s="1"/>
      <c r="N530" s="1"/>
      <c r="O530" s="1"/>
      <c r="P530" s="2"/>
      <c r="Q530" s="2"/>
      <c r="R530" s="2"/>
      <c r="S530" s="2"/>
      <c r="T530" s="2"/>
      <c r="U530" s="2"/>
      <c r="V530" s="2"/>
      <c r="W530" s="2"/>
      <c r="X530" s="2"/>
    </row>
    <row r="531" ht="15.75" customHeight="1">
      <c r="A531" s="1"/>
      <c r="B531" s="2"/>
      <c r="C531" s="81"/>
      <c r="D531" s="1"/>
      <c r="E531" s="2"/>
      <c r="F531" s="4"/>
      <c r="G531" s="4"/>
      <c r="H531" s="1"/>
      <c r="I531" s="2"/>
      <c r="J531" s="5"/>
      <c r="K531" s="5"/>
      <c r="L531" s="2"/>
      <c r="M531" s="1"/>
      <c r="N531" s="1"/>
      <c r="O531" s="1"/>
      <c r="P531" s="2"/>
      <c r="Q531" s="2"/>
      <c r="R531" s="2"/>
      <c r="S531" s="2"/>
      <c r="T531" s="2"/>
      <c r="U531" s="2"/>
      <c r="V531" s="2"/>
      <c r="W531" s="2"/>
      <c r="X531" s="2"/>
    </row>
    <row r="532" ht="15.75" customHeight="1">
      <c r="A532" s="1"/>
      <c r="B532" s="2"/>
      <c r="C532" s="81"/>
      <c r="D532" s="1"/>
      <c r="E532" s="2"/>
      <c r="F532" s="4"/>
      <c r="G532" s="4"/>
      <c r="H532" s="1"/>
      <c r="I532" s="2"/>
      <c r="J532" s="5"/>
      <c r="K532" s="5"/>
      <c r="L532" s="2"/>
      <c r="M532" s="1"/>
      <c r="N532" s="1"/>
      <c r="O532" s="1"/>
      <c r="P532" s="2"/>
      <c r="Q532" s="2"/>
      <c r="R532" s="2"/>
      <c r="S532" s="2"/>
      <c r="T532" s="2"/>
      <c r="U532" s="2"/>
      <c r="V532" s="2"/>
      <c r="W532" s="2"/>
      <c r="X532" s="2"/>
    </row>
    <row r="533" ht="15.75" customHeight="1">
      <c r="A533" s="1"/>
      <c r="B533" s="2"/>
      <c r="C533" s="81"/>
      <c r="D533" s="1"/>
      <c r="E533" s="2"/>
      <c r="F533" s="4"/>
      <c r="G533" s="4"/>
      <c r="H533" s="1"/>
      <c r="I533" s="2"/>
      <c r="J533" s="5"/>
      <c r="K533" s="5"/>
      <c r="L533" s="2"/>
      <c r="M533" s="1"/>
      <c r="N533" s="1"/>
      <c r="O533" s="1"/>
      <c r="P533" s="2"/>
      <c r="Q533" s="2"/>
      <c r="R533" s="2"/>
      <c r="S533" s="2"/>
      <c r="T533" s="2"/>
      <c r="U533" s="2"/>
      <c r="V533" s="2"/>
      <c r="W533" s="2"/>
      <c r="X533" s="2"/>
    </row>
    <row r="534" ht="15.75" customHeight="1">
      <c r="A534" s="1"/>
      <c r="B534" s="2"/>
      <c r="C534" s="81"/>
      <c r="D534" s="1"/>
      <c r="E534" s="2"/>
      <c r="F534" s="4"/>
      <c r="G534" s="4"/>
      <c r="H534" s="1"/>
      <c r="I534" s="2"/>
      <c r="J534" s="5"/>
      <c r="K534" s="5"/>
      <c r="L534" s="2"/>
      <c r="M534" s="1"/>
      <c r="N534" s="1"/>
      <c r="O534" s="1"/>
      <c r="P534" s="2"/>
      <c r="Q534" s="2"/>
      <c r="R534" s="2"/>
      <c r="S534" s="2"/>
      <c r="T534" s="2"/>
      <c r="U534" s="2"/>
      <c r="V534" s="2"/>
      <c r="W534" s="2"/>
      <c r="X534" s="2"/>
    </row>
    <row r="535" ht="15.75" customHeight="1">
      <c r="A535" s="1"/>
      <c r="B535" s="2"/>
      <c r="C535" s="81"/>
      <c r="D535" s="1"/>
      <c r="E535" s="2"/>
      <c r="F535" s="4"/>
      <c r="G535" s="4"/>
      <c r="H535" s="1"/>
      <c r="I535" s="2"/>
      <c r="J535" s="5"/>
      <c r="K535" s="5"/>
      <c r="L535" s="2"/>
      <c r="M535" s="1"/>
      <c r="N535" s="1"/>
      <c r="O535" s="1"/>
      <c r="P535" s="2"/>
      <c r="Q535" s="2"/>
      <c r="R535" s="2"/>
      <c r="S535" s="2"/>
      <c r="T535" s="2"/>
      <c r="U535" s="2"/>
      <c r="V535" s="2"/>
      <c r="W535" s="2"/>
      <c r="X535" s="2"/>
    </row>
    <row r="536" ht="15.75" customHeight="1">
      <c r="A536" s="1"/>
      <c r="B536" s="2"/>
      <c r="C536" s="81"/>
      <c r="D536" s="1"/>
      <c r="E536" s="2"/>
      <c r="F536" s="4"/>
      <c r="G536" s="4"/>
      <c r="H536" s="1"/>
      <c r="I536" s="2"/>
      <c r="J536" s="5"/>
      <c r="K536" s="5"/>
      <c r="L536" s="2"/>
      <c r="M536" s="1"/>
      <c r="N536" s="1"/>
      <c r="O536" s="1"/>
      <c r="P536" s="2"/>
      <c r="Q536" s="2"/>
      <c r="R536" s="2"/>
      <c r="S536" s="2"/>
      <c r="T536" s="2"/>
      <c r="U536" s="2"/>
      <c r="V536" s="2"/>
      <c r="W536" s="2"/>
      <c r="X536" s="2"/>
    </row>
    <row r="537" ht="15.75" customHeight="1">
      <c r="A537" s="1"/>
      <c r="B537" s="2"/>
      <c r="C537" s="81"/>
      <c r="D537" s="1"/>
      <c r="E537" s="2"/>
      <c r="F537" s="4"/>
      <c r="G537" s="4"/>
      <c r="H537" s="1"/>
      <c r="I537" s="2"/>
      <c r="J537" s="5"/>
      <c r="K537" s="5"/>
      <c r="L537" s="2"/>
      <c r="M537" s="1"/>
      <c r="N537" s="1"/>
      <c r="O537" s="1"/>
      <c r="P537" s="2"/>
      <c r="Q537" s="2"/>
      <c r="R537" s="2"/>
      <c r="S537" s="2"/>
      <c r="T537" s="2"/>
      <c r="U537" s="2"/>
      <c r="V537" s="2"/>
      <c r="W537" s="2"/>
      <c r="X537" s="2"/>
    </row>
    <row r="538" ht="15.75" customHeight="1">
      <c r="A538" s="31"/>
      <c r="C538" s="82"/>
      <c r="H538" s="31"/>
      <c r="I538" s="11"/>
      <c r="J538" s="9"/>
      <c r="K538" s="9"/>
      <c r="L538" s="11"/>
      <c r="M538" s="31"/>
      <c r="N538" s="31"/>
      <c r="O538" s="31"/>
    </row>
    <row r="539" ht="15.75" customHeight="1">
      <c r="A539" s="31"/>
      <c r="C539" s="82"/>
      <c r="H539" s="31"/>
      <c r="I539" s="11"/>
      <c r="J539" s="9"/>
      <c r="K539" s="9"/>
      <c r="L539" s="11"/>
      <c r="M539" s="31"/>
      <c r="N539" s="31"/>
      <c r="O539" s="31"/>
    </row>
    <row r="540" ht="15.75" customHeight="1">
      <c r="A540" s="31"/>
      <c r="C540" s="82"/>
      <c r="H540" s="31"/>
      <c r="I540" s="11"/>
      <c r="J540" s="9"/>
      <c r="K540" s="9"/>
      <c r="L540" s="11"/>
      <c r="M540" s="31"/>
      <c r="N540" s="31"/>
      <c r="O540" s="31"/>
    </row>
    <row r="541" ht="15.75" customHeight="1">
      <c r="A541" s="31"/>
      <c r="C541" s="82"/>
      <c r="H541" s="31"/>
      <c r="I541" s="11"/>
      <c r="J541" s="9"/>
      <c r="K541" s="9"/>
      <c r="L541" s="11"/>
      <c r="M541" s="31"/>
      <c r="N541" s="31"/>
      <c r="O541" s="31"/>
    </row>
    <row r="542" ht="15.75" customHeight="1">
      <c r="A542" s="31"/>
      <c r="C542" s="82"/>
      <c r="H542" s="31"/>
      <c r="I542" s="11"/>
      <c r="J542" s="9"/>
      <c r="K542" s="9"/>
      <c r="L542" s="11"/>
      <c r="M542" s="31"/>
      <c r="N542" s="31"/>
      <c r="O542" s="31"/>
    </row>
    <row r="543" ht="15.75" customHeight="1">
      <c r="A543" s="31"/>
      <c r="C543" s="82"/>
      <c r="H543" s="31"/>
      <c r="I543" s="11"/>
      <c r="J543" s="9"/>
      <c r="K543" s="9"/>
      <c r="L543" s="11"/>
      <c r="M543" s="31"/>
      <c r="N543" s="31"/>
      <c r="O543" s="31"/>
    </row>
    <row r="544" ht="15.75" customHeight="1">
      <c r="A544" s="31"/>
      <c r="C544" s="82"/>
      <c r="H544" s="31"/>
      <c r="I544" s="11"/>
      <c r="J544" s="9"/>
      <c r="K544" s="9"/>
      <c r="L544" s="11"/>
      <c r="M544" s="31"/>
      <c r="N544" s="31"/>
      <c r="O544" s="31"/>
    </row>
    <row r="545" ht="15.75" customHeight="1">
      <c r="A545" s="31"/>
      <c r="C545" s="82"/>
      <c r="H545" s="31"/>
      <c r="I545" s="11"/>
      <c r="J545" s="9"/>
      <c r="K545" s="9"/>
      <c r="L545" s="11"/>
      <c r="M545" s="31"/>
      <c r="N545" s="31"/>
      <c r="O545" s="31"/>
    </row>
    <row r="546" ht="15.75" customHeight="1">
      <c r="A546" s="31"/>
      <c r="C546" s="82"/>
      <c r="H546" s="31"/>
      <c r="I546" s="11"/>
      <c r="J546" s="9"/>
      <c r="K546" s="9"/>
      <c r="L546" s="11"/>
      <c r="M546" s="31"/>
      <c r="N546" s="31"/>
      <c r="O546" s="31"/>
    </row>
    <row r="547" ht="15.75" customHeight="1">
      <c r="A547" s="31"/>
      <c r="C547" s="82"/>
      <c r="H547" s="31"/>
      <c r="I547" s="11"/>
      <c r="J547" s="9"/>
      <c r="K547" s="9"/>
      <c r="L547" s="11"/>
      <c r="M547" s="31"/>
      <c r="N547" s="31"/>
      <c r="O547" s="31"/>
    </row>
    <row r="548" ht="15.75" customHeight="1">
      <c r="A548" s="31"/>
      <c r="C548" s="82"/>
      <c r="H548" s="31"/>
      <c r="I548" s="11"/>
      <c r="J548" s="9"/>
      <c r="K548" s="9"/>
      <c r="L548" s="11"/>
      <c r="M548" s="31"/>
      <c r="N548" s="31"/>
      <c r="O548" s="31"/>
    </row>
    <row r="549" ht="15.75" customHeight="1">
      <c r="A549" s="31"/>
      <c r="C549" s="82"/>
      <c r="H549" s="31"/>
      <c r="I549" s="11"/>
      <c r="J549" s="9"/>
      <c r="K549" s="9"/>
      <c r="L549" s="11"/>
      <c r="M549" s="31"/>
      <c r="N549" s="31"/>
      <c r="O549" s="31"/>
    </row>
    <row r="550" ht="15.75" customHeight="1">
      <c r="A550" s="31"/>
      <c r="C550" s="82"/>
      <c r="H550" s="31"/>
      <c r="I550" s="11"/>
      <c r="J550" s="9"/>
      <c r="K550" s="9"/>
      <c r="L550" s="11"/>
      <c r="M550" s="31"/>
      <c r="N550" s="31"/>
      <c r="O550" s="31"/>
    </row>
    <row r="551" ht="15.75" customHeight="1">
      <c r="A551" s="31"/>
      <c r="C551" s="82"/>
      <c r="H551" s="31"/>
      <c r="I551" s="11"/>
      <c r="J551" s="9"/>
      <c r="K551" s="9"/>
      <c r="L551" s="11"/>
      <c r="M551" s="31"/>
      <c r="N551" s="31"/>
      <c r="O551" s="31"/>
    </row>
    <row r="552" ht="15.75" customHeight="1">
      <c r="A552" s="31"/>
      <c r="C552" s="82"/>
      <c r="H552" s="31"/>
      <c r="I552" s="11"/>
      <c r="J552" s="9"/>
      <c r="K552" s="9"/>
      <c r="L552" s="11"/>
      <c r="M552" s="31"/>
      <c r="N552" s="31"/>
      <c r="O552" s="31"/>
    </row>
    <row r="553" ht="15.75" customHeight="1">
      <c r="A553" s="31"/>
      <c r="C553" s="82"/>
      <c r="H553" s="31"/>
      <c r="I553" s="11"/>
      <c r="J553" s="9"/>
      <c r="K553" s="9"/>
      <c r="L553" s="11"/>
      <c r="M553" s="31"/>
      <c r="N553" s="31"/>
      <c r="O553" s="31"/>
    </row>
    <row r="554" ht="15.75" customHeight="1">
      <c r="A554" s="31"/>
      <c r="C554" s="82"/>
      <c r="H554" s="31"/>
      <c r="I554" s="11"/>
      <c r="J554" s="9"/>
      <c r="K554" s="9"/>
      <c r="L554" s="11"/>
      <c r="M554" s="31"/>
      <c r="N554" s="31"/>
      <c r="O554" s="31"/>
    </row>
    <row r="555" ht="15.75" customHeight="1">
      <c r="A555" s="31"/>
      <c r="C555" s="82"/>
      <c r="H555" s="31"/>
      <c r="I555" s="11"/>
      <c r="J555" s="9"/>
      <c r="K555" s="9"/>
      <c r="L555" s="11"/>
      <c r="M555" s="31"/>
      <c r="N555" s="31"/>
      <c r="O555" s="31"/>
    </row>
    <row r="556" ht="15.75" customHeight="1">
      <c r="A556" s="31"/>
      <c r="C556" s="82"/>
      <c r="H556" s="31"/>
      <c r="I556" s="11"/>
      <c r="J556" s="9"/>
      <c r="K556" s="9"/>
      <c r="L556" s="11"/>
      <c r="M556" s="31"/>
      <c r="N556" s="31"/>
      <c r="O556" s="31"/>
    </row>
    <row r="557" ht="15.75" customHeight="1">
      <c r="A557" s="31"/>
      <c r="C557" s="82"/>
      <c r="H557" s="31"/>
      <c r="I557" s="11"/>
      <c r="J557" s="9"/>
      <c r="K557" s="9"/>
      <c r="L557" s="11"/>
      <c r="M557" s="31"/>
      <c r="N557" s="31"/>
      <c r="O557" s="31"/>
    </row>
    <row r="558" ht="15.75" customHeight="1">
      <c r="A558" s="31"/>
      <c r="C558" s="82"/>
      <c r="H558" s="31"/>
      <c r="I558" s="11"/>
      <c r="J558" s="9"/>
      <c r="K558" s="9"/>
      <c r="L558" s="11"/>
      <c r="M558" s="31"/>
      <c r="N558" s="31"/>
      <c r="O558" s="31"/>
    </row>
    <row r="559" ht="15.75" customHeight="1">
      <c r="A559" s="31"/>
      <c r="C559" s="82"/>
      <c r="H559" s="31"/>
      <c r="I559" s="11"/>
      <c r="J559" s="9"/>
      <c r="K559" s="9"/>
      <c r="L559" s="11"/>
      <c r="M559" s="31"/>
      <c r="N559" s="31"/>
      <c r="O559" s="31"/>
    </row>
    <row r="560" ht="15.75" customHeight="1">
      <c r="A560" s="31"/>
      <c r="C560" s="82"/>
      <c r="H560" s="31"/>
      <c r="I560" s="11"/>
      <c r="J560" s="9"/>
      <c r="K560" s="9"/>
      <c r="L560" s="11"/>
      <c r="M560" s="31"/>
      <c r="N560" s="31"/>
      <c r="O560" s="31"/>
    </row>
    <row r="561" ht="15.75" customHeight="1">
      <c r="A561" s="31"/>
      <c r="C561" s="82"/>
      <c r="H561" s="31"/>
      <c r="I561" s="11"/>
      <c r="J561" s="9"/>
      <c r="K561" s="9"/>
      <c r="L561" s="11"/>
      <c r="M561" s="31"/>
      <c r="N561" s="31"/>
      <c r="O561" s="31"/>
    </row>
    <row r="562" ht="15.75" customHeight="1">
      <c r="A562" s="31"/>
      <c r="C562" s="82"/>
      <c r="H562" s="31"/>
      <c r="I562" s="11"/>
      <c r="J562" s="9"/>
      <c r="K562" s="9"/>
      <c r="L562" s="11"/>
      <c r="M562" s="31"/>
      <c r="N562" s="31"/>
      <c r="O562" s="31"/>
    </row>
    <row r="563" ht="15.75" customHeight="1">
      <c r="A563" s="31"/>
      <c r="C563" s="82"/>
      <c r="H563" s="31"/>
      <c r="I563" s="11"/>
      <c r="J563" s="9"/>
      <c r="K563" s="9"/>
      <c r="L563" s="11"/>
      <c r="M563" s="31"/>
      <c r="N563" s="31"/>
      <c r="O563" s="31"/>
    </row>
    <row r="564" ht="15.75" customHeight="1">
      <c r="A564" s="31"/>
      <c r="C564" s="82"/>
      <c r="H564" s="31"/>
      <c r="I564" s="11"/>
      <c r="J564" s="9"/>
      <c r="K564" s="9"/>
      <c r="L564" s="11"/>
      <c r="M564" s="31"/>
      <c r="N564" s="31"/>
      <c r="O564" s="31"/>
    </row>
    <row r="565" ht="15.75" customHeight="1">
      <c r="A565" s="31"/>
      <c r="C565" s="82"/>
      <c r="H565" s="31"/>
      <c r="I565" s="11"/>
      <c r="J565" s="9"/>
      <c r="K565" s="9"/>
      <c r="L565" s="11"/>
      <c r="M565" s="31"/>
      <c r="N565" s="31"/>
      <c r="O565" s="31"/>
    </row>
    <row r="566" ht="15.75" customHeight="1">
      <c r="A566" s="31"/>
      <c r="C566" s="82"/>
      <c r="H566" s="31"/>
      <c r="I566" s="11"/>
      <c r="J566" s="9"/>
      <c r="K566" s="9"/>
      <c r="L566" s="11"/>
      <c r="M566" s="31"/>
      <c r="N566" s="31"/>
      <c r="O566" s="31"/>
    </row>
    <row r="567" ht="15.75" customHeight="1">
      <c r="A567" s="31"/>
      <c r="C567" s="82"/>
      <c r="H567" s="31"/>
      <c r="I567" s="11"/>
      <c r="J567" s="9"/>
      <c r="K567" s="9"/>
      <c r="L567" s="11"/>
      <c r="M567" s="31"/>
      <c r="N567" s="31"/>
      <c r="O567" s="31"/>
    </row>
    <row r="568" ht="15.75" customHeight="1">
      <c r="A568" s="31"/>
      <c r="C568" s="82"/>
      <c r="H568" s="31"/>
      <c r="I568" s="11"/>
      <c r="J568" s="9"/>
      <c r="K568" s="9"/>
      <c r="L568" s="11"/>
      <c r="M568" s="31"/>
      <c r="N568" s="31"/>
      <c r="O568" s="31"/>
    </row>
    <row r="569" ht="15.75" customHeight="1">
      <c r="A569" s="31"/>
      <c r="C569" s="82"/>
      <c r="H569" s="31"/>
      <c r="I569" s="11"/>
      <c r="J569" s="9"/>
      <c r="K569" s="9"/>
      <c r="L569" s="11"/>
      <c r="M569" s="31"/>
      <c r="N569" s="31"/>
      <c r="O569" s="31"/>
    </row>
    <row r="570" ht="15.75" customHeight="1">
      <c r="A570" s="31"/>
      <c r="C570" s="82"/>
      <c r="H570" s="31"/>
      <c r="I570" s="11"/>
      <c r="J570" s="9"/>
      <c r="K570" s="9"/>
      <c r="L570" s="11"/>
      <c r="M570" s="31"/>
      <c r="N570" s="31"/>
      <c r="O570" s="31"/>
    </row>
    <row r="571" ht="15.75" customHeight="1">
      <c r="A571" s="31"/>
      <c r="C571" s="82"/>
      <c r="H571" s="31"/>
      <c r="I571" s="11"/>
      <c r="J571" s="9"/>
      <c r="K571" s="9"/>
      <c r="L571" s="11"/>
      <c r="M571" s="31"/>
      <c r="N571" s="31"/>
      <c r="O571" s="31"/>
    </row>
    <row r="572" ht="15.75" customHeight="1">
      <c r="A572" s="31"/>
      <c r="C572" s="82"/>
      <c r="H572" s="31"/>
      <c r="I572" s="11"/>
      <c r="J572" s="9"/>
      <c r="K572" s="9"/>
      <c r="L572" s="11"/>
      <c r="M572" s="31"/>
      <c r="N572" s="31"/>
      <c r="O572" s="31"/>
    </row>
    <row r="573" ht="15.75" customHeight="1">
      <c r="A573" s="31"/>
      <c r="C573" s="82"/>
      <c r="H573" s="31"/>
      <c r="I573" s="11"/>
      <c r="J573" s="9"/>
      <c r="K573" s="9"/>
      <c r="L573" s="11"/>
      <c r="M573" s="31"/>
      <c r="N573" s="31"/>
      <c r="O573" s="31"/>
    </row>
    <row r="574" ht="15.75" customHeight="1">
      <c r="A574" s="31"/>
      <c r="C574" s="82"/>
      <c r="H574" s="31"/>
      <c r="I574" s="11"/>
      <c r="J574" s="9"/>
      <c r="K574" s="9"/>
      <c r="L574" s="11"/>
      <c r="M574" s="31"/>
      <c r="N574" s="31"/>
      <c r="O574" s="31"/>
    </row>
    <row r="575" ht="15.75" customHeight="1">
      <c r="A575" s="31"/>
      <c r="C575" s="82"/>
      <c r="H575" s="31"/>
      <c r="I575" s="11"/>
      <c r="J575" s="9"/>
      <c r="K575" s="9"/>
      <c r="L575" s="11"/>
      <c r="M575" s="31"/>
      <c r="N575" s="31"/>
      <c r="O575" s="31"/>
    </row>
    <row r="576" ht="15.75" customHeight="1">
      <c r="A576" s="31"/>
      <c r="C576" s="82"/>
      <c r="H576" s="31"/>
      <c r="I576" s="11"/>
      <c r="J576" s="9"/>
      <c r="K576" s="9"/>
      <c r="L576" s="11"/>
      <c r="M576" s="31"/>
      <c r="N576" s="31"/>
      <c r="O576" s="31"/>
    </row>
    <row r="577" ht="15.75" customHeight="1">
      <c r="A577" s="31"/>
      <c r="C577" s="82"/>
      <c r="H577" s="31"/>
      <c r="I577" s="11"/>
      <c r="J577" s="9"/>
      <c r="K577" s="9"/>
      <c r="L577" s="11"/>
      <c r="M577" s="31"/>
      <c r="N577" s="31"/>
      <c r="O577" s="31"/>
    </row>
    <row r="578" ht="15.75" customHeight="1">
      <c r="A578" s="31"/>
      <c r="C578" s="82"/>
      <c r="H578" s="31"/>
      <c r="I578" s="11"/>
      <c r="J578" s="9"/>
      <c r="K578" s="9"/>
      <c r="L578" s="11"/>
      <c r="M578" s="31"/>
      <c r="N578" s="31"/>
      <c r="O578" s="31"/>
    </row>
    <row r="579" ht="15.75" customHeight="1">
      <c r="A579" s="31"/>
      <c r="C579" s="82"/>
      <c r="H579" s="31"/>
      <c r="I579" s="11"/>
      <c r="J579" s="9"/>
      <c r="K579" s="9"/>
      <c r="L579" s="11"/>
      <c r="M579" s="31"/>
      <c r="N579" s="31"/>
      <c r="O579" s="31"/>
    </row>
    <row r="580" ht="15.75" customHeight="1">
      <c r="A580" s="31"/>
      <c r="C580" s="82"/>
      <c r="H580" s="31"/>
      <c r="I580" s="11"/>
      <c r="J580" s="9"/>
      <c r="K580" s="9"/>
      <c r="L580" s="11"/>
      <c r="M580" s="31"/>
      <c r="N580" s="31"/>
      <c r="O580" s="31"/>
    </row>
    <row r="581" ht="15.75" customHeight="1">
      <c r="A581" s="31"/>
      <c r="C581" s="82"/>
      <c r="H581" s="31"/>
      <c r="I581" s="11"/>
      <c r="J581" s="9"/>
      <c r="K581" s="9"/>
      <c r="L581" s="11"/>
      <c r="M581" s="31"/>
      <c r="N581" s="31"/>
      <c r="O581" s="31"/>
    </row>
    <row r="582" ht="15.75" customHeight="1">
      <c r="A582" s="31"/>
      <c r="C582" s="82"/>
      <c r="H582" s="31"/>
      <c r="I582" s="11"/>
      <c r="J582" s="9"/>
      <c r="K582" s="9"/>
      <c r="L582" s="11"/>
      <c r="M582" s="31"/>
      <c r="N582" s="31"/>
      <c r="O582" s="31"/>
    </row>
    <row r="583" ht="15.75" customHeight="1">
      <c r="A583" s="31"/>
      <c r="C583" s="82"/>
      <c r="H583" s="31"/>
      <c r="I583" s="11"/>
      <c r="J583" s="9"/>
      <c r="K583" s="9"/>
      <c r="L583" s="11"/>
      <c r="M583" s="31"/>
      <c r="N583" s="31"/>
      <c r="O583" s="31"/>
    </row>
    <row r="584" ht="15.75" customHeight="1">
      <c r="A584" s="31"/>
      <c r="C584" s="82"/>
      <c r="H584" s="31"/>
      <c r="I584" s="11"/>
      <c r="J584" s="9"/>
      <c r="K584" s="9"/>
      <c r="L584" s="11"/>
      <c r="M584" s="31"/>
      <c r="N584" s="31"/>
      <c r="O584" s="31"/>
    </row>
    <row r="585" ht="15.75" customHeight="1">
      <c r="A585" s="31"/>
      <c r="C585" s="82"/>
      <c r="H585" s="31"/>
      <c r="I585" s="11"/>
      <c r="J585" s="9"/>
      <c r="K585" s="9"/>
      <c r="L585" s="11"/>
      <c r="M585" s="31"/>
      <c r="N585" s="31"/>
      <c r="O585" s="31"/>
    </row>
    <row r="586" ht="15.75" customHeight="1">
      <c r="A586" s="31"/>
      <c r="C586" s="82"/>
      <c r="H586" s="31"/>
      <c r="I586" s="11"/>
      <c r="J586" s="9"/>
      <c r="K586" s="9"/>
      <c r="L586" s="11"/>
      <c r="M586" s="31"/>
      <c r="N586" s="31"/>
      <c r="O586" s="31"/>
    </row>
    <row r="587" ht="15.75" customHeight="1">
      <c r="A587" s="31"/>
      <c r="C587" s="82"/>
      <c r="H587" s="31"/>
      <c r="I587" s="11"/>
      <c r="J587" s="9"/>
      <c r="K587" s="9"/>
      <c r="L587" s="11"/>
      <c r="M587" s="31"/>
      <c r="N587" s="31"/>
      <c r="O587" s="31"/>
    </row>
    <row r="588" ht="15.75" customHeight="1">
      <c r="A588" s="31"/>
      <c r="C588" s="82"/>
      <c r="H588" s="31"/>
      <c r="I588" s="11"/>
      <c r="J588" s="9"/>
      <c r="K588" s="9"/>
      <c r="L588" s="11"/>
      <c r="M588" s="31"/>
      <c r="N588" s="31"/>
      <c r="O588" s="31"/>
    </row>
    <row r="589" ht="15.75" customHeight="1">
      <c r="A589" s="31"/>
      <c r="C589" s="82"/>
      <c r="H589" s="31"/>
      <c r="I589" s="11"/>
      <c r="J589" s="9"/>
      <c r="K589" s="9"/>
      <c r="L589" s="11"/>
      <c r="M589" s="31"/>
      <c r="N589" s="31"/>
      <c r="O589" s="31"/>
    </row>
    <row r="590" ht="15.75" customHeight="1">
      <c r="A590" s="31"/>
      <c r="C590" s="82"/>
      <c r="H590" s="31"/>
      <c r="I590" s="11"/>
      <c r="J590" s="9"/>
      <c r="K590" s="9"/>
      <c r="L590" s="11"/>
      <c r="M590" s="31"/>
      <c r="N590" s="31"/>
      <c r="O590" s="31"/>
    </row>
    <row r="591" ht="15.75" customHeight="1">
      <c r="A591" s="31"/>
      <c r="C591" s="82"/>
      <c r="H591" s="31"/>
      <c r="I591" s="11"/>
      <c r="J591" s="9"/>
      <c r="K591" s="9"/>
      <c r="L591" s="11"/>
      <c r="M591" s="31"/>
      <c r="N591" s="31"/>
      <c r="O591" s="31"/>
    </row>
    <row r="592" ht="15.75" customHeight="1">
      <c r="A592" s="31"/>
      <c r="C592" s="82"/>
      <c r="H592" s="31"/>
      <c r="I592" s="11"/>
      <c r="J592" s="9"/>
      <c r="K592" s="9"/>
      <c r="L592" s="11"/>
      <c r="M592" s="31"/>
      <c r="N592" s="31"/>
      <c r="O592" s="31"/>
    </row>
    <row r="593" ht="15.75" customHeight="1">
      <c r="A593" s="31"/>
      <c r="C593" s="82"/>
      <c r="H593" s="31"/>
      <c r="I593" s="11"/>
      <c r="J593" s="9"/>
      <c r="K593" s="9"/>
      <c r="L593" s="11"/>
      <c r="M593" s="31"/>
      <c r="N593" s="31"/>
      <c r="O593" s="31"/>
    </row>
    <row r="594" ht="15.75" customHeight="1">
      <c r="A594" s="31"/>
      <c r="C594" s="82"/>
      <c r="H594" s="31"/>
      <c r="I594" s="11"/>
      <c r="J594" s="9"/>
      <c r="K594" s="9"/>
      <c r="L594" s="11"/>
      <c r="M594" s="31"/>
      <c r="N594" s="31"/>
      <c r="O594" s="31"/>
    </row>
    <row r="595" ht="15.75" customHeight="1">
      <c r="A595" s="31"/>
      <c r="C595" s="82"/>
      <c r="H595" s="31"/>
      <c r="I595" s="11"/>
      <c r="J595" s="9"/>
      <c r="K595" s="9"/>
      <c r="L595" s="11"/>
      <c r="M595" s="31"/>
      <c r="N595" s="31"/>
      <c r="O595" s="31"/>
    </row>
    <row r="596" ht="15.75" customHeight="1">
      <c r="A596" s="31"/>
      <c r="C596" s="82"/>
      <c r="H596" s="31"/>
      <c r="I596" s="11"/>
      <c r="J596" s="9"/>
      <c r="K596" s="9"/>
      <c r="L596" s="11"/>
      <c r="M596" s="31"/>
      <c r="N596" s="31"/>
      <c r="O596" s="31"/>
    </row>
    <row r="597" ht="15.75" customHeight="1">
      <c r="A597" s="31"/>
      <c r="C597" s="82"/>
      <c r="H597" s="31"/>
      <c r="I597" s="11"/>
      <c r="J597" s="9"/>
      <c r="K597" s="9"/>
      <c r="L597" s="11"/>
      <c r="M597" s="31"/>
      <c r="N597" s="31"/>
      <c r="O597" s="31"/>
    </row>
    <row r="598" ht="15.75" customHeight="1">
      <c r="A598" s="31"/>
      <c r="C598" s="82"/>
      <c r="H598" s="31"/>
      <c r="I598" s="11"/>
      <c r="J598" s="9"/>
      <c r="K598" s="9"/>
      <c r="L598" s="11"/>
      <c r="M598" s="31"/>
      <c r="N598" s="31"/>
      <c r="O598" s="31"/>
    </row>
    <row r="599" ht="15.75" customHeight="1">
      <c r="A599" s="31"/>
      <c r="C599" s="82"/>
      <c r="H599" s="31"/>
      <c r="I599" s="11"/>
      <c r="J599" s="9"/>
      <c r="K599" s="9"/>
      <c r="L599" s="11"/>
      <c r="M599" s="31"/>
      <c r="N599" s="31"/>
      <c r="O599" s="31"/>
    </row>
    <row r="600" ht="15.75" customHeight="1">
      <c r="A600" s="31"/>
      <c r="C600" s="82"/>
      <c r="H600" s="31"/>
      <c r="I600" s="11"/>
      <c r="J600" s="9"/>
      <c r="K600" s="9"/>
      <c r="L600" s="11"/>
      <c r="M600" s="31"/>
      <c r="N600" s="31"/>
      <c r="O600" s="31"/>
    </row>
    <row r="601" ht="15.75" customHeight="1">
      <c r="A601" s="31"/>
      <c r="C601" s="82"/>
      <c r="H601" s="31"/>
      <c r="I601" s="11"/>
      <c r="J601" s="9"/>
      <c r="K601" s="9"/>
      <c r="L601" s="11"/>
      <c r="M601" s="31"/>
      <c r="N601" s="31"/>
      <c r="O601" s="31"/>
    </row>
    <row r="602" ht="15.75" customHeight="1">
      <c r="A602" s="31"/>
      <c r="C602" s="82"/>
      <c r="H602" s="31"/>
      <c r="I602" s="11"/>
      <c r="J602" s="9"/>
      <c r="K602" s="9"/>
      <c r="L602" s="11"/>
      <c r="M602" s="31"/>
      <c r="N602" s="31"/>
      <c r="O602" s="31"/>
    </row>
    <row r="603" ht="15.75" customHeight="1">
      <c r="A603" s="31"/>
      <c r="C603" s="82"/>
      <c r="H603" s="31"/>
      <c r="I603" s="11"/>
      <c r="J603" s="9"/>
      <c r="K603" s="9"/>
      <c r="L603" s="11"/>
      <c r="M603" s="31"/>
      <c r="N603" s="31"/>
      <c r="O603" s="31"/>
    </row>
    <row r="604" ht="15.75" customHeight="1">
      <c r="A604" s="31"/>
      <c r="C604" s="82"/>
      <c r="H604" s="31"/>
      <c r="I604" s="11"/>
      <c r="J604" s="9"/>
      <c r="K604" s="9"/>
      <c r="L604" s="11"/>
      <c r="M604" s="31"/>
      <c r="N604" s="31"/>
      <c r="O604" s="31"/>
    </row>
    <row r="605" ht="15.75" customHeight="1">
      <c r="A605" s="31"/>
      <c r="C605" s="82"/>
      <c r="H605" s="31"/>
      <c r="I605" s="11"/>
      <c r="J605" s="9"/>
      <c r="K605" s="9"/>
      <c r="L605" s="11"/>
      <c r="M605" s="31"/>
      <c r="N605" s="31"/>
      <c r="O605" s="31"/>
    </row>
    <row r="606" ht="15.75" customHeight="1">
      <c r="A606" s="31"/>
      <c r="C606" s="82"/>
      <c r="H606" s="31"/>
      <c r="I606" s="11"/>
      <c r="J606" s="9"/>
      <c r="K606" s="9"/>
      <c r="L606" s="11"/>
      <c r="M606" s="31"/>
      <c r="N606" s="31"/>
      <c r="O606" s="31"/>
    </row>
    <row r="607" ht="15.75" customHeight="1">
      <c r="A607" s="31"/>
      <c r="C607" s="82"/>
      <c r="H607" s="31"/>
      <c r="I607" s="11"/>
      <c r="J607" s="9"/>
      <c r="K607" s="9"/>
      <c r="L607" s="11"/>
      <c r="M607" s="31"/>
      <c r="N607" s="31"/>
      <c r="O607" s="31"/>
    </row>
    <row r="608" ht="15.75" customHeight="1">
      <c r="A608" s="31"/>
      <c r="C608" s="82"/>
      <c r="H608" s="31"/>
      <c r="I608" s="11"/>
      <c r="J608" s="9"/>
      <c r="K608" s="9"/>
      <c r="L608" s="11"/>
      <c r="M608" s="31"/>
      <c r="N608" s="31"/>
      <c r="O608" s="31"/>
    </row>
    <row r="609" ht="15.75" customHeight="1">
      <c r="A609" s="31"/>
      <c r="C609" s="82"/>
      <c r="H609" s="31"/>
      <c r="I609" s="11"/>
      <c r="J609" s="9"/>
      <c r="K609" s="9"/>
      <c r="L609" s="11"/>
      <c r="M609" s="31"/>
      <c r="N609" s="31"/>
      <c r="O609" s="31"/>
    </row>
    <row r="610" ht="15.75" customHeight="1">
      <c r="A610" s="31"/>
      <c r="C610" s="82"/>
      <c r="H610" s="31"/>
      <c r="I610" s="11"/>
      <c r="J610" s="9"/>
      <c r="K610" s="9"/>
      <c r="L610" s="11"/>
      <c r="M610" s="31"/>
      <c r="N610" s="31"/>
      <c r="O610" s="31"/>
    </row>
    <row r="611" ht="15.75" customHeight="1">
      <c r="A611" s="31"/>
      <c r="C611" s="82"/>
      <c r="H611" s="31"/>
      <c r="I611" s="11"/>
      <c r="J611" s="9"/>
      <c r="K611" s="9"/>
      <c r="L611" s="11"/>
      <c r="M611" s="31"/>
      <c r="N611" s="31"/>
      <c r="O611" s="31"/>
    </row>
    <row r="612" ht="15.75" customHeight="1">
      <c r="A612" s="31"/>
      <c r="C612" s="82"/>
      <c r="H612" s="31"/>
      <c r="I612" s="11"/>
      <c r="J612" s="9"/>
      <c r="K612" s="9"/>
      <c r="L612" s="11"/>
      <c r="M612" s="31"/>
      <c r="N612" s="31"/>
      <c r="O612" s="31"/>
    </row>
    <row r="613" ht="15.75" customHeight="1">
      <c r="A613" s="31"/>
      <c r="C613" s="82"/>
      <c r="H613" s="31"/>
      <c r="I613" s="11"/>
      <c r="J613" s="9"/>
      <c r="K613" s="9"/>
      <c r="L613" s="11"/>
      <c r="M613" s="31"/>
      <c r="N613" s="31"/>
      <c r="O613" s="31"/>
    </row>
    <row r="614" ht="15.75" customHeight="1">
      <c r="A614" s="31"/>
      <c r="C614" s="82"/>
      <c r="H614" s="31"/>
      <c r="I614" s="11"/>
      <c r="J614" s="9"/>
      <c r="K614" s="9"/>
      <c r="L614" s="11"/>
      <c r="M614" s="31"/>
      <c r="N614" s="31"/>
      <c r="O614" s="31"/>
    </row>
    <row r="615" ht="15.75" customHeight="1">
      <c r="A615" s="31"/>
      <c r="C615" s="82"/>
      <c r="H615" s="31"/>
      <c r="I615" s="11"/>
      <c r="J615" s="9"/>
      <c r="K615" s="9"/>
      <c r="L615" s="11"/>
      <c r="M615" s="31"/>
      <c r="N615" s="31"/>
      <c r="O615" s="31"/>
    </row>
    <row r="616" ht="15.75" customHeight="1">
      <c r="A616" s="31"/>
      <c r="C616" s="82"/>
      <c r="H616" s="31"/>
      <c r="I616" s="11"/>
      <c r="J616" s="9"/>
      <c r="K616" s="9"/>
      <c r="L616" s="11"/>
      <c r="M616" s="31"/>
      <c r="N616" s="31"/>
      <c r="O616" s="31"/>
    </row>
    <row r="617" ht="15.75" customHeight="1">
      <c r="A617" s="31"/>
      <c r="C617" s="82"/>
      <c r="H617" s="31"/>
      <c r="I617" s="11"/>
      <c r="J617" s="9"/>
      <c r="K617" s="9"/>
      <c r="L617" s="11"/>
      <c r="M617" s="31"/>
      <c r="N617" s="31"/>
      <c r="O617" s="31"/>
    </row>
    <row r="618" ht="15.75" customHeight="1">
      <c r="A618" s="31"/>
      <c r="C618" s="82"/>
      <c r="H618" s="31"/>
      <c r="I618" s="11"/>
      <c r="J618" s="9"/>
      <c r="K618" s="9"/>
      <c r="L618" s="11"/>
      <c r="M618" s="31"/>
      <c r="N618" s="31"/>
      <c r="O618" s="31"/>
    </row>
    <row r="619" ht="15.75" customHeight="1">
      <c r="A619" s="31"/>
      <c r="C619" s="82"/>
      <c r="H619" s="31"/>
      <c r="I619" s="11"/>
      <c r="J619" s="9"/>
      <c r="K619" s="9"/>
      <c r="L619" s="11"/>
      <c r="M619" s="31"/>
      <c r="N619" s="31"/>
      <c r="O619" s="31"/>
    </row>
    <row r="620" ht="15.75" customHeight="1">
      <c r="A620" s="31"/>
      <c r="C620" s="82"/>
      <c r="H620" s="31"/>
      <c r="I620" s="11"/>
      <c r="J620" s="9"/>
      <c r="K620" s="9"/>
      <c r="L620" s="11"/>
      <c r="M620" s="31"/>
      <c r="N620" s="31"/>
      <c r="O620" s="31"/>
    </row>
    <row r="621" ht="15.75" customHeight="1">
      <c r="A621" s="31"/>
      <c r="C621" s="82"/>
      <c r="H621" s="31"/>
      <c r="I621" s="11"/>
      <c r="J621" s="9"/>
      <c r="K621" s="9"/>
      <c r="L621" s="11"/>
      <c r="M621" s="31"/>
      <c r="N621" s="31"/>
      <c r="O621" s="31"/>
    </row>
    <row r="622" ht="15.75" customHeight="1">
      <c r="A622" s="31"/>
      <c r="C622" s="82"/>
      <c r="H622" s="31"/>
      <c r="I622" s="11"/>
      <c r="J622" s="9"/>
      <c r="K622" s="9"/>
      <c r="L622" s="11"/>
      <c r="M622" s="31"/>
      <c r="N622" s="31"/>
      <c r="O622" s="31"/>
    </row>
    <row r="623" ht="15.75" customHeight="1">
      <c r="A623" s="31"/>
      <c r="C623" s="82"/>
      <c r="H623" s="31"/>
      <c r="I623" s="11"/>
      <c r="J623" s="9"/>
      <c r="K623" s="9"/>
      <c r="L623" s="11"/>
      <c r="M623" s="31"/>
      <c r="N623" s="31"/>
      <c r="O623" s="31"/>
    </row>
    <row r="624" ht="15.75" customHeight="1">
      <c r="A624" s="31"/>
      <c r="C624" s="82"/>
      <c r="H624" s="31"/>
      <c r="I624" s="11"/>
      <c r="J624" s="9"/>
      <c r="K624" s="9"/>
      <c r="L624" s="11"/>
      <c r="M624" s="31"/>
      <c r="N624" s="31"/>
      <c r="O624" s="31"/>
    </row>
    <row r="625" ht="15.75" customHeight="1">
      <c r="A625" s="31"/>
      <c r="C625" s="82"/>
      <c r="H625" s="31"/>
      <c r="I625" s="11"/>
      <c r="J625" s="9"/>
      <c r="K625" s="9"/>
      <c r="L625" s="11"/>
      <c r="M625" s="31"/>
      <c r="N625" s="31"/>
      <c r="O625" s="31"/>
    </row>
    <row r="626" ht="15.75" customHeight="1">
      <c r="A626" s="31"/>
      <c r="C626" s="82"/>
      <c r="H626" s="31"/>
      <c r="I626" s="11"/>
      <c r="J626" s="9"/>
      <c r="K626" s="9"/>
      <c r="L626" s="11"/>
      <c r="M626" s="31"/>
      <c r="N626" s="31"/>
      <c r="O626" s="31"/>
    </row>
    <row r="627" ht="15.75" customHeight="1">
      <c r="A627" s="31"/>
      <c r="C627" s="82"/>
      <c r="H627" s="31"/>
      <c r="I627" s="11"/>
      <c r="J627" s="9"/>
      <c r="K627" s="9"/>
      <c r="L627" s="11"/>
      <c r="M627" s="31"/>
      <c r="N627" s="31"/>
      <c r="O627" s="31"/>
    </row>
    <row r="628" ht="15.75" customHeight="1">
      <c r="A628" s="31"/>
      <c r="C628" s="82"/>
      <c r="H628" s="31"/>
      <c r="I628" s="11"/>
      <c r="J628" s="9"/>
      <c r="K628" s="9"/>
      <c r="L628" s="11"/>
      <c r="M628" s="31"/>
      <c r="N628" s="31"/>
      <c r="O628" s="31"/>
    </row>
    <row r="629" ht="15.75" customHeight="1">
      <c r="A629" s="31"/>
      <c r="C629" s="82"/>
      <c r="H629" s="31"/>
      <c r="I629" s="11"/>
      <c r="J629" s="9"/>
      <c r="K629" s="9"/>
      <c r="L629" s="11"/>
      <c r="M629" s="31"/>
      <c r="N629" s="31"/>
      <c r="O629" s="31"/>
    </row>
    <row r="630" ht="15.75" customHeight="1">
      <c r="A630" s="31"/>
      <c r="C630" s="82"/>
      <c r="H630" s="31"/>
      <c r="I630" s="11"/>
      <c r="J630" s="9"/>
      <c r="K630" s="9"/>
      <c r="L630" s="11"/>
      <c r="M630" s="31"/>
      <c r="N630" s="31"/>
      <c r="O630" s="31"/>
    </row>
    <row r="631" ht="15.75" customHeight="1">
      <c r="A631" s="31"/>
      <c r="C631" s="82"/>
      <c r="H631" s="31"/>
      <c r="I631" s="11"/>
      <c r="J631" s="9"/>
      <c r="K631" s="9"/>
      <c r="L631" s="11"/>
      <c r="M631" s="31"/>
      <c r="N631" s="31"/>
      <c r="O631" s="31"/>
    </row>
    <row r="632" ht="15.75" customHeight="1">
      <c r="A632" s="31"/>
      <c r="C632" s="82"/>
      <c r="H632" s="31"/>
      <c r="I632" s="11"/>
      <c r="J632" s="9"/>
      <c r="K632" s="9"/>
      <c r="L632" s="11"/>
      <c r="M632" s="31"/>
      <c r="N632" s="31"/>
      <c r="O632" s="31"/>
    </row>
    <row r="633" ht="15.75" customHeight="1">
      <c r="A633" s="31"/>
      <c r="C633" s="82"/>
      <c r="H633" s="31"/>
      <c r="I633" s="11"/>
      <c r="J633" s="9"/>
      <c r="K633" s="9"/>
      <c r="L633" s="11"/>
      <c r="M633" s="31"/>
      <c r="N633" s="31"/>
      <c r="O633" s="31"/>
    </row>
    <row r="634" ht="15.75" customHeight="1">
      <c r="A634" s="31"/>
      <c r="C634" s="82"/>
      <c r="H634" s="31"/>
      <c r="I634" s="11"/>
      <c r="J634" s="9"/>
      <c r="K634" s="9"/>
      <c r="L634" s="11"/>
      <c r="M634" s="31"/>
      <c r="N634" s="31"/>
      <c r="O634" s="31"/>
    </row>
    <row r="635" ht="15.75" customHeight="1">
      <c r="A635" s="31"/>
      <c r="C635" s="82"/>
      <c r="H635" s="31"/>
      <c r="I635" s="11"/>
      <c r="J635" s="9"/>
      <c r="K635" s="9"/>
      <c r="L635" s="11"/>
      <c r="M635" s="31"/>
      <c r="N635" s="31"/>
      <c r="O635" s="31"/>
    </row>
    <row r="636" ht="15.75" customHeight="1">
      <c r="A636" s="31"/>
      <c r="C636" s="82"/>
      <c r="H636" s="31"/>
      <c r="I636" s="11"/>
      <c r="J636" s="9"/>
      <c r="K636" s="9"/>
      <c r="L636" s="11"/>
      <c r="M636" s="31"/>
      <c r="N636" s="31"/>
      <c r="O636" s="31"/>
    </row>
    <row r="637" ht="15.75" customHeight="1">
      <c r="A637" s="31"/>
      <c r="C637" s="82"/>
      <c r="H637" s="31"/>
      <c r="I637" s="11"/>
      <c r="J637" s="9"/>
      <c r="K637" s="9"/>
      <c r="L637" s="11"/>
      <c r="M637" s="31"/>
      <c r="N637" s="31"/>
      <c r="O637" s="31"/>
    </row>
    <row r="638" ht="15.75" customHeight="1">
      <c r="A638" s="31"/>
      <c r="C638" s="82"/>
      <c r="H638" s="31"/>
      <c r="I638" s="11"/>
      <c r="J638" s="9"/>
      <c r="K638" s="9"/>
      <c r="L638" s="11"/>
      <c r="M638" s="31"/>
      <c r="N638" s="31"/>
      <c r="O638" s="31"/>
    </row>
    <row r="639" ht="15.75" customHeight="1">
      <c r="A639" s="31"/>
      <c r="C639" s="82"/>
      <c r="H639" s="31"/>
      <c r="I639" s="11"/>
      <c r="J639" s="9"/>
      <c r="K639" s="9"/>
      <c r="L639" s="11"/>
      <c r="M639" s="31"/>
      <c r="N639" s="31"/>
      <c r="O639" s="31"/>
    </row>
    <row r="640" ht="15.75" customHeight="1">
      <c r="A640" s="31"/>
      <c r="C640" s="82"/>
      <c r="H640" s="31"/>
      <c r="I640" s="11"/>
      <c r="J640" s="9"/>
      <c r="K640" s="9"/>
      <c r="L640" s="11"/>
      <c r="M640" s="31"/>
      <c r="N640" s="31"/>
      <c r="O640" s="31"/>
    </row>
    <row r="641" ht="15.75" customHeight="1">
      <c r="A641" s="31"/>
      <c r="C641" s="82"/>
      <c r="H641" s="31"/>
      <c r="I641" s="11"/>
      <c r="J641" s="9"/>
      <c r="K641" s="9"/>
      <c r="L641" s="11"/>
      <c r="M641" s="31"/>
      <c r="N641" s="31"/>
      <c r="O641" s="31"/>
    </row>
    <row r="642" ht="15.75" customHeight="1">
      <c r="A642" s="31"/>
      <c r="C642" s="82"/>
      <c r="H642" s="31"/>
      <c r="I642" s="11"/>
      <c r="J642" s="9"/>
      <c r="K642" s="9"/>
      <c r="L642" s="11"/>
      <c r="M642" s="31"/>
      <c r="N642" s="31"/>
      <c r="O642" s="31"/>
    </row>
    <row r="643" ht="15.75" customHeight="1">
      <c r="A643" s="31"/>
      <c r="C643" s="82"/>
      <c r="H643" s="31"/>
      <c r="I643" s="11"/>
      <c r="J643" s="9"/>
      <c r="K643" s="9"/>
      <c r="L643" s="11"/>
      <c r="M643" s="31"/>
      <c r="N643" s="31"/>
      <c r="O643" s="31"/>
    </row>
    <row r="644" ht="15.75" customHeight="1">
      <c r="A644" s="31"/>
      <c r="C644" s="82"/>
      <c r="H644" s="31"/>
      <c r="I644" s="11"/>
      <c r="J644" s="9"/>
      <c r="K644" s="9"/>
      <c r="L644" s="11"/>
      <c r="M644" s="31"/>
      <c r="N644" s="31"/>
      <c r="O644" s="31"/>
    </row>
    <row r="645" ht="15.75" customHeight="1">
      <c r="A645" s="31"/>
      <c r="C645" s="82"/>
      <c r="H645" s="31"/>
      <c r="I645" s="11"/>
      <c r="J645" s="9"/>
      <c r="K645" s="9"/>
      <c r="L645" s="11"/>
      <c r="M645" s="31"/>
      <c r="N645" s="31"/>
      <c r="O645" s="31"/>
    </row>
    <row r="646" ht="15.75" customHeight="1">
      <c r="A646" s="31"/>
      <c r="C646" s="82"/>
      <c r="H646" s="31"/>
      <c r="I646" s="11"/>
      <c r="J646" s="9"/>
      <c r="K646" s="9"/>
      <c r="L646" s="11"/>
      <c r="M646" s="31"/>
      <c r="N646" s="31"/>
      <c r="O646" s="31"/>
    </row>
    <row r="647" ht="15.75" customHeight="1">
      <c r="A647" s="31"/>
      <c r="C647" s="82"/>
      <c r="H647" s="31"/>
      <c r="I647" s="11"/>
      <c r="J647" s="9"/>
      <c r="K647" s="9"/>
      <c r="L647" s="11"/>
      <c r="M647" s="31"/>
      <c r="N647" s="31"/>
      <c r="O647" s="31"/>
    </row>
    <row r="648" ht="15.75" customHeight="1">
      <c r="A648" s="31"/>
      <c r="C648" s="82"/>
      <c r="H648" s="31"/>
      <c r="I648" s="11"/>
      <c r="J648" s="9"/>
      <c r="K648" s="9"/>
      <c r="L648" s="11"/>
      <c r="M648" s="31"/>
      <c r="N648" s="31"/>
      <c r="O648" s="31"/>
    </row>
    <row r="649" ht="15.75" customHeight="1">
      <c r="A649" s="31"/>
      <c r="C649" s="82"/>
      <c r="H649" s="31"/>
      <c r="I649" s="11"/>
      <c r="J649" s="9"/>
      <c r="K649" s="9"/>
      <c r="L649" s="11"/>
      <c r="M649" s="31"/>
      <c r="N649" s="31"/>
      <c r="O649" s="31"/>
    </row>
    <row r="650" ht="15.75" customHeight="1">
      <c r="A650" s="31"/>
      <c r="C650" s="82"/>
      <c r="H650" s="31"/>
      <c r="I650" s="11"/>
      <c r="J650" s="9"/>
      <c r="K650" s="9"/>
      <c r="L650" s="11"/>
      <c r="M650" s="31"/>
      <c r="N650" s="31"/>
      <c r="O650" s="31"/>
    </row>
    <row r="651" ht="15.75" customHeight="1">
      <c r="A651" s="31"/>
      <c r="C651" s="82"/>
      <c r="H651" s="31"/>
      <c r="I651" s="11"/>
      <c r="J651" s="9"/>
      <c r="K651" s="9"/>
      <c r="L651" s="11"/>
      <c r="M651" s="31"/>
      <c r="N651" s="31"/>
      <c r="O651" s="31"/>
    </row>
    <row r="652" ht="15.75" customHeight="1">
      <c r="A652" s="31"/>
      <c r="C652" s="82"/>
      <c r="H652" s="31"/>
      <c r="I652" s="11"/>
      <c r="J652" s="9"/>
      <c r="K652" s="9"/>
      <c r="L652" s="11"/>
      <c r="M652" s="31"/>
      <c r="N652" s="31"/>
      <c r="O652" s="31"/>
    </row>
    <row r="653" ht="15.75" customHeight="1">
      <c r="A653" s="31"/>
      <c r="C653" s="82"/>
      <c r="H653" s="31"/>
      <c r="I653" s="11"/>
      <c r="J653" s="9"/>
      <c r="K653" s="9"/>
      <c r="L653" s="11"/>
      <c r="M653" s="31"/>
      <c r="N653" s="31"/>
      <c r="O653" s="31"/>
    </row>
    <row r="654" ht="15.75" customHeight="1">
      <c r="A654" s="31"/>
      <c r="C654" s="82"/>
      <c r="H654" s="31"/>
      <c r="I654" s="11"/>
      <c r="J654" s="9"/>
      <c r="K654" s="9"/>
      <c r="L654" s="11"/>
      <c r="M654" s="31"/>
      <c r="N654" s="31"/>
      <c r="O654" s="31"/>
    </row>
    <row r="655" ht="15.75" customHeight="1">
      <c r="A655" s="31"/>
      <c r="C655" s="82"/>
      <c r="H655" s="31"/>
      <c r="I655" s="11"/>
      <c r="J655" s="9"/>
      <c r="K655" s="9"/>
      <c r="L655" s="11"/>
      <c r="M655" s="31"/>
      <c r="N655" s="31"/>
      <c r="O655" s="31"/>
    </row>
    <row r="656" ht="15.75" customHeight="1">
      <c r="A656" s="31"/>
      <c r="C656" s="82"/>
      <c r="H656" s="31"/>
      <c r="I656" s="11"/>
      <c r="J656" s="9"/>
      <c r="K656" s="9"/>
      <c r="L656" s="11"/>
      <c r="M656" s="31"/>
      <c r="N656" s="31"/>
      <c r="O656" s="31"/>
    </row>
    <row r="657" ht="15.75" customHeight="1">
      <c r="A657" s="31"/>
      <c r="C657" s="82"/>
      <c r="H657" s="31"/>
      <c r="I657" s="11"/>
      <c r="J657" s="9"/>
      <c r="K657" s="9"/>
      <c r="L657" s="11"/>
      <c r="M657" s="31"/>
      <c r="N657" s="31"/>
      <c r="O657" s="31"/>
    </row>
    <row r="658" ht="15.75" customHeight="1">
      <c r="A658" s="31"/>
      <c r="C658" s="82"/>
      <c r="H658" s="31"/>
      <c r="I658" s="11"/>
      <c r="J658" s="9"/>
      <c r="K658" s="9"/>
      <c r="L658" s="11"/>
      <c r="M658" s="31"/>
      <c r="N658" s="31"/>
      <c r="O658" s="31"/>
    </row>
    <row r="659" ht="15.75" customHeight="1">
      <c r="A659" s="31"/>
      <c r="C659" s="82"/>
      <c r="H659" s="31"/>
      <c r="I659" s="11"/>
      <c r="J659" s="9"/>
      <c r="K659" s="9"/>
      <c r="L659" s="11"/>
      <c r="M659" s="31"/>
      <c r="N659" s="31"/>
      <c r="O659" s="31"/>
    </row>
    <row r="660" ht="15.75" customHeight="1">
      <c r="A660" s="31"/>
      <c r="C660" s="82"/>
      <c r="H660" s="31"/>
      <c r="I660" s="11"/>
      <c r="J660" s="9"/>
      <c r="K660" s="9"/>
      <c r="L660" s="11"/>
      <c r="M660" s="31"/>
      <c r="N660" s="31"/>
      <c r="O660" s="31"/>
    </row>
    <row r="661" ht="15.75" customHeight="1">
      <c r="A661" s="31"/>
      <c r="C661" s="82"/>
      <c r="H661" s="31"/>
      <c r="I661" s="11"/>
      <c r="J661" s="9"/>
      <c r="K661" s="9"/>
      <c r="L661" s="11"/>
      <c r="M661" s="31"/>
      <c r="N661" s="31"/>
      <c r="O661" s="31"/>
    </row>
    <row r="662" ht="15.75" customHeight="1">
      <c r="A662" s="31"/>
      <c r="C662" s="82"/>
      <c r="H662" s="31"/>
      <c r="I662" s="11"/>
      <c r="J662" s="9"/>
      <c r="K662" s="9"/>
      <c r="L662" s="11"/>
      <c r="M662" s="31"/>
      <c r="N662" s="31"/>
      <c r="O662" s="31"/>
    </row>
    <row r="663" ht="15.75" customHeight="1">
      <c r="A663" s="31"/>
      <c r="C663" s="82"/>
      <c r="H663" s="31"/>
      <c r="I663" s="11"/>
      <c r="J663" s="9"/>
      <c r="K663" s="9"/>
      <c r="L663" s="11"/>
      <c r="M663" s="31"/>
      <c r="N663" s="31"/>
      <c r="O663" s="31"/>
    </row>
    <row r="664" ht="15.75" customHeight="1">
      <c r="A664" s="31"/>
      <c r="C664" s="82"/>
      <c r="H664" s="31"/>
      <c r="I664" s="11"/>
      <c r="J664" s="9"/>
      <c r="K664" s="9"/>
      <c r="L664" s="11"/>
      <c r="M664" s="31"/>
      <c r="N664" s="31"/>
      <c r="O664" s="31"/>
    </row>
    <row r="665" ht="15.75" customHeight="1">
      <c r="A665" s="31"/>
      <c r="C665" s="82"/>
      <c r="H665" s="31"/>
      <c r="I665" s="11"/>
      <c r="J665" s="9"/>
      <c r="K665" s="9"/>
      <c r="L665" s="11"/>
      <c r="M665" s="31"/>
      <c r="N665" s="31"/>
      <c r="O665" s="31"/>
    </row>
    <row r="666" ht="15.75" customHeight="1">
      <c r="A666" s="31"/>
      <c r="C666" s="82"/>
      <c r="H666" s="31"/>
      <c r="I666" s="11"/>
      <c r="J666" s="9"/>
      <c r="K666" s="9"/>
      <c r="L666" s="11"/>
      <c r="M666" s="31"/>
      <c r="N666" s="31"/>
      <c r="O666" s="31"/>
    </row>
    <row r="667" ht="15.75" customHeight="1">
      <c r="A667" s="31"/>
      <c r="C667" s="82"/>
      <c r="H667" s="31"/>
      <c r="I667" s="11"/>
      <c r="J667" s="9"/>
      <c r="K667" s="9"/>
      <c r="L667" s="11"/>
      <c r="M667" s="31"/>
      <c r="N667" s="31"/>
      <c r="O667" s="31"/>
    </row>
    <row r="668" ht="15.75" customHeight="1">
      <c r="A668" s="31"/>
      <c r="C668" s="82"/>
      <c r="H668" s="31"/>
      <c r="I668" s="11"/>
      <c r="J668" s="9"/>
      <c r="K668" s="9"/>
      <c r="L668" s="11"/>
      <c r="M668" s="31"/>
      <c r="N668" s="31"/>
      <c r="O668" s="31"/>
    </row>
    <row r="669" ht="15.75" customHeight="1">
      <c r="A669" s="31"/>
      <c r="C669" s="82"/>
      <c r="H669" s="31"/>
      <c r="I669" s="11"/>
      <c r="J669" s="9"/>
      <c r="K669" s="9"/>
      <c r="L669" s="11"/>
      <c r="M669" s="31"/>
      <c r="N669" s="31"/>
      <c r="O669" s="31"/>
    </row>
    <row r="670" ht="15.75" customHeight="1">
      <c r="A670" s="31"/>
      <c r="C670" s="82"/>
      <c r="H670" s="31"/>
      <c r="I670" s="11"/>
      <c r="J670" s="9"/>
      <c r="K670" s="9"/>
      <c r="L670" s="11"/>
      <c r="M670" s="31"/>
      <c r="N670" s="31"/>
      <c r="O670" s="31"/>
    </row>
    <row r="671" ht="15.75" customHeight="1">
      <c r="A671" s="31"/>
      <c r="C671" s="82"/>
      <c r="H671" s="31"/>
      <c r="I671" s="11"/>
      <c r="J671" s="9"/>
      <c r="K671" s="9"/>
      <c r="L671" s="11"/>
      <c r="M671" s="31"/>
      <c r="N671" s="31"/>
      <c r="O671" s="31"/>
    </row>
    <row r="672" ht="15.75" customHeight="1">
      <c r="A672" s="31"/>
      <c r="C672" s="82"/>
      <c r="H672" s="31"/>
      <c r="I672" s="11"/>
      <c r="J672" s="9"/>
      <c r="K672" s="9"/>
      <c r="L672" s="11"/>
      <c r="M672" s="31"/>
      <c r="N672" s="31"/>
      <c r="O672" s="31"/>
    </row>
    <row r="673" ht="15.75" customHeight="1">
      <c r="A673" s="31"/>
      <c r="C673" s="82"/>
      <c r="H673" s="31"/>
      <c r="I673" s="11"/>
      <c r="J673" s="9"/>
      <c r="K673" s="9"/>
      <c r="L673" s="11"/>
      <c r="M673" s="31"/>
      <c r="N673" s="31"/>
      <c r="O673" s="31"/>
    </row>
    <row r="674" ht="15.75" customHeight="1">
      <c r="A674" s="31"/>
      <c r="C674" s="82"/>
      <c r="H674" s="31"/>
      <c r="I674" s="11"/>
      <c r="J674" s="9"/>
      <c r="K674" s="9"/>
      <c r="L674" s="11"/>
      <c r="M674" s="31"/>
      <c r="N674" s="31"/>
      <c r="O674" s="31"/>
    </row>
    <row r="675" ht="15.75" customHeight="1">
      <c r="A675" s="31"/>
      <c r="C675" s="82"/>
      <c r="H675" s="31"/>
      <c r="I675" s="11"/>
      <c r="J675" s="9"/>
      <c r="K675" s="9"/>
      <c r="L675" s="11"/>
      <c r="M675" s="31"/>
      <c r="N675" s="31"/>
      <c r="O675" s="31"/>
    </row>
    <row r="676" ht="15.75" customHeight="1">
      <c r="A676" s="31"/>
      <c r="C676" s="82"/>
      <c r="H676" s="31"/>
      <c r="I676" s="11"/>
      <c r="J676" s="9"/>
      <c r="K676" s="9"/>
      <c r="L676" s="11"/>
      <c r="M676" s="31"/>
      <c r="N676" s="31"/>
      <c r="O676" s="31"/>
    </row>
    <row r="677" ht="15.75" customHeight="1">
      <c r="A677" s="31"/>
      <c r="C677" s="82"/>
      <c r="H677" s="31"/>
      <c r="I677" s="11"/>
      <c r="J677" s="9"/>
      <c r="K677" s="9"/>
      <c r="L677" s="11"/>
      <c r="M677" s="31"/>
      <c r="N677" s="31"/>
      <c r="O677" s="31"/>
    </row>
    <row r="678" ht="15.75" customHeight="1">
      <c r="A678" s="31"/>
      <c r="C678" s="82"/>
      <c r="H678" s="31"/>
      <c r="I678" s="11"/>
      <c r="J678" s="9"/>
      <c r="K678" s="9"/>
      <c r="L678" s="11"/>
      <c r="M678" s="31"/>
      <c r="N678" s="31"/>
      <c r="O678" s="31"/>
    </row>
    <row r="679" ht="15.75" customHeight="1">
      <c r="A679" s="31"/>
      <c r="C679" s="82"/>
      <c r="H679" s="31"/>
      <c r="I679" s="11"/>
      <c r="J679" s="9"/>
      <c r="K679" s="9"/>
      <c r="L679" s="11"/>
      <c r="M679" s="31"/>
      <c r="N679" s="31"/>
      <c r="O679" s="31"/>
    </row>
    <row r="680" ht="15.75" customHeight="1">
      <c r="A680" s="31"/>
      <c r="C680" s="82"/>
      <c r="H680" s="31"/>
      <c r="I680" s="11"/>
      <c r="J680" s="9"/>
      <c r="K680" s="9"/>
      <c r="L680" s="11"/>
      <c r="M680" s="31"/>
      <c r="N680" s="31"/>
      <c r="O680" s="31"/>
    </row>
    <row r="681" ht="15.75" customHeight="1">
      <c r="A681" s="31"/>
      <c r="C681" s="82"/>
      <c r="H681" s="31"/>
      <c r="I681" s="11"/>
      <c r="J681" s="9"/>
      <c r="K681" s="9"/>
      <c r="L681" s="11"/>
      <c r="M681" s="31"/>
      <c r="N681" s="31"/>
      <c r="O681" s="31"/>
    </row>
    <row r="682" ht="15.75" customHeight="1">
      <c r="A682" s="31"/>
      <c r="C682" s="82"/>
      <c r="H682" s="31"/>
      <c r="I682" s="11"/>
      <c r="J682" s="9"/>
      <c r="K682" s="9"/>
      <c r="L682" s="11"/>
      <c r="M682" s="31"/>
      <c r="N682" s="31"/>
      <c r="O682" s="31"/>
    </row>
    <row r="683" ht="15.75" customHeight="1">
      <c r="A683" s="31"/>
      <c r="C683" s="82"/>
      <c r="H683" s="31"/>
      <c r="I683" s="11"/>
      <c r="J683" s="9"/>
      <c r="K683" s="9"/>
      <c r="L683" s="11"/>
      <c r="M683" s="31"/>
      <c r="N683" s="31"/>
      <c r="O683" s="31"/>
    </row>
    <row r="684" ht="15.75" customHeight="1">
      <c r="A684" s="31"/>
      <c r="C684" s="82"/>
      <c r="H684" s="31"/>
      <c r="I684" s="11"/>
      <c r="J684" s="9"/>
      <c r="K684" s="9"/>
      <c r="L684" s="11"/>
      <c r="M684" s="31"/>
      <c r="N684" s="31"/>
      <c r="O684" s="31"/>
    </row>
    <row r="685" ht="15.75" customHeight="1">
      <c r="A685" s="31"/>
      <c r="C685" s="82"/>
      <c r="H685" s="31"/>
      <c r="I685" s="11"/>
      <c r="J685" s="9"/>
      <c r="K685" s="9"/>
      <c r="L685" s="11"/>
      <c r="M685" s="31"/>
      <c r="N685" s="31"/>
      <c r="O685" s="31"/>
    </row>
    <row r="686" ht="15.75" customHeight="1">
      <c r="A686" s="31"/>
      <c r="C686" s="82"/>
      <c r="H686" s="31"/>
      <c r="I686" s="11"/>
      <c r="J686" s="9"/>
      <c r="K686" s="9"/>
      <c r="L686" s="11"/>
      <c r="M686" s="31"/>
      <c r="N686" s="31"/>
      <c r="O686" s="31"/>
    </row>
    <row r="687" ht="15.75" customHeight="1">
      <c r="A687" s="31"/>
      <c r="C687" s="82"/>
      <c r="H687" s="31"/>
      <c r="I687" s="11"/>
      <c r="J687" s="9"/>
      <c r="K687" s="9"/>
      <c r="L687" s="11"/>
      <c r="M687" s="31"/>
      <c r="N687" s="31"/>
      <c r="O687" s="31"/>
    </row>
    <row r="688" ht="15.75" customHeight="1">
      <c r="A688" s="31"/>
      <c r="C688" s="82"/>
      <c r="H688" s="31"/>
      <c r="I688" s="11"/>
      <c r="J688" s="9"/>
      <c r="K688" s="9"/>
      <c r="L688" s="11"/>
      <c r="M688" s="31"/>
      <c r="N688" s="31"/>
      <c r="O688" s="31"/>
    </row>
    <row r="689" ht="15.75" customHeight="1">
      <c r="A689" s="31"/>
      <c r="C689" s="82"/>
      <c r="H689" s="31"/>
      <c r="I689" s="11"/>
      <c r="J689" s="9"/>
      <c r="K689" s="9"/>
      <c r="L689" s="11"/>
      <c r="M689" s="31"/>
      <c r="N689" s="31"/>
      <c r="O689" s="31"/>
    </row>
    <row r="690" ht="15.75" customHeight="1">
      <c r="A690" s="31"/>
      <c r="C690" s="82"/>
      <c r="H690" s="31"/>
      <c r="I690" s="11"/>
      <c r="J690" s="9"/>
      <c r="K690" s="9"/>
      <c r="L690" s="11"/>
      <c r="M690" s="31"/>
      <c r="N690" s="31"/>
      <c r="O690" s="31"/>
    </row>
    <row r="691" ht="15.75" customHeight="1">
      <c r="A691" s="31"/>
      <c r="C691" s="82"/>
      <c r="H691" s="31"/>
      <c r="I691" s="11"/>
      <c r="J691" s="9"/>
      <c r="K691" s="9"/>
      <c r="L691" s="11"/>
      <c r="M691" s="31"/>
      <c r="N691" s="31"/>
      <c r="O691" s="31"/>
    </row>
    <row r="692" ht="15.75" customHeight="1">
      <c r="A692" s="31"/>
      <c r="C692" s="82"/>
      <c r="H692" s="31"/>
      <c r="I692" s="11"/>
      <c r="J692" s="9"/>
      <c r="K692" s="9"/>
      <c r="L692" s="11"/>
      <c r="M692" s="31"/>
      <c r="N692" s="31"/>
      <c r="O692" s="31"/>
    </row>
    <row r="693" ht="15.75" customHeight="1">
      <c r="A693" s="31"/>
      <c r="C693" s="82"/>
      <c r="H693" s="31"/>
      <c r="I693" s="11"/>
      <c r="J693" s="9"/>
      <c r="K693" s="9"/>
      <c r="L693" s="11"/>
      <c r="M693" s="31"/>
      <c r="N693" s="31"/>
      <c r="O693" s="31"/>
    </row>
    <row r="694" ht="15.75" customHeight="1">
      <c r="A694" s="31"/>
      <c r="C694" s="82"/>
      <c r="H694" s="31"/>
      <c r="I694" s="11"/>
      <c r="J694" s="9"/>
      <c r="K694" s="9"/>
      <c r="L694" s="11"/>
      <c r="M694" s="31"/>
      <c r="N694" s="31"/>
      <c r="O694" s="31"/>
    </row>
    <row r="695" ht="15.75" customHeight="1">
      <c r="A695" s="31"/>
      <c r="C695" s="82"/>
      <c r="H695" s="31"/>
      <c r="I695" s="11"/>
      <c r="J695" s="9"/>
      <c r="K695" s="9"/>
      <c r="L695" s="11"/>
      <c r="M695" s="31"/>
      <c r="N695" s="31"/>
      <c r="O695" s="31"/>
    </row>
    <row r="696" ht="15.75" customHeight="1">
      <c r="A696" s="31"/>
      <c r="C696" s="82"/>
      <c r="H696" s="31"/>
      <c r="I696" s="11"/>
      <c r="J696" s="9"/>
      <c r="K696" s="9"/>
      <c r="L696" s="11"/>
      <c r="M696" s="31"/>
      <c r="N696" s="31"/>
      <c r="O696" s="31"/>
    </row>
    <row r="697" ht="15.75" customHeight="1">
      <c r="A697" s="31"/>
      <c r="C697" s="82"/>
      <c r="H697" s="31"/>
      <c r="I697" s="11"/>
      <c r="J697" s="9"/>
      <c r="K697" s="9"/>
      <c r="L697" s="11"/>
      <c r="M697" s="31"/>
      <c r="N697" s="31"/>
      <c r="O697" s="31"/>
    </row>
    <row r="698" ht="15.75" customHeight="1">
      <c r="A698" s="31"/>
      <c r="C698" s="82"/>
      <c r="H698" s="31"/>
      <c r="I698" s="11"/>
      <c r="J698" s="9"/>
      <c r="K698" s="9"/>
      <c r="L698" s="11"/>
      <c r="M698" s="31"/>
      <c r="N698" s="31"/>
      <c r="O698" s="31"/>
    </row>
    <row r="699" ht="15.75" customHeight="1">
      <c r="A699" s="31"/>
      <c r="C699" s="82"/>
      <c r="H699" s="31"/>
      <c r="I699" s="11"/>
      <c r="J699" s="9"/>
      <c r="K699" s="9"/>
      <c r="L699" s="11"/>
      <c r="M699" s="31"/>
      <c r="N699" s="31"/>
      <c r="O699" s="31"/>
    </row>
    <row r="700" ht="15.75" customHeight="1">
      <c r="A700" s="31"/>
      <c r="C700" s="82"/>
      <c r="H700" s="31"/>
      <c r="I700" s="11"/>
      <c r="J700" s="9"/>
      <c r="K700" s="9"/>
      <c r="L700" s="11"/>
      <c r="M700" s="31"/>
      <c r="N700" s="31"/>
      <c r="O700" s="31"/>
    </row>
    <row r="701" ht="15.75" customHeight="1">
      <c r="A701" s="31"/>
      <c r="C701" s="82"/>
      <c r="H701" s="31"/>
      <c r="I701" s="11"/>
      <c r="J701" s="9"/>
      <c r="K701" s="9"/>
      <c r="L701" s="11"/>
      <c r="M701" s="31"/>
      <c r="N701" s="31"/>
      <c r="O701" s="31"/>
    </row>
    <row r="702" ht="15.75" customHeight="1">
      <c r="A702" s="31"/>
      <c r="C702" s="82"/>
      <c r="H702" s="31"/>
      <c r="I702" s="11"/>
      <c r="J702" s="9"/>
      <c r="K702" s="9"/>
      <c r="L702" s="11"/>
      <c r="M702" s="31"/>
      <c r="N702" s="31"/>
      <c r="O702" s="31"/>
    </row>
    <row r="703" ht="15.75" customHeight="1">
      <c r="A703" s="31"/>
      <c r="C703" s="82"/>
      <c r="H703" s="31"/>
      <c r="I703" s="11"/>
      <c r="J703" s="9"/>
      <c r="K703" s="9"/>
      <c r="L703" s="11"/>
      <c r="M703" s="31"/>
      <c r="N703" s="31"/>
      <c r="O703" s="31"/>
    </row>
    <row r="704" ht="15.75" customHeight="1">
      <c r="A704" s="31"/>
      <c r="C704" s="82"/>
      <c r="H704" s="31"/>
      <c r="I704" s="11"/>
      <c r="J704" s="9"/>
      <c r="K704" s="9"/>
      <c r="L704" s="11"/>
      <c r="M704" s="31"/>
      <c r="N704" s="31"/>
      <c r="O704" s="31"/>
    </row>
    <row r="705" ht="15.75" customHeight="1">
      <c r="A705" s="31"/>
      <c r="C705" s="82"/>
      <c r="H705" s="31"/>
      <c r="I705" s="11"/>
      <c r="J705" s="9"/>
      <c r="K705" s="9"/>
      <c r="L705" s="11"/>
      <c r="M705" s="31"/>
      <c r="N705" s="31"/>
      <c r="O705" s="31"/>
    </row>
    <row r="706" ht="15.75" customHeight="1">
      <c r="A706" s="31"/>
      <c r="C706" s="82"/>
      <c r="H706" s="31"/>
      <c r="I706" s="11"/>
      <c r="J706" s="9"/>
      <c r="K706" s="9"/>
      <c r="L706" s="11"/>
      <c r="M706" s="31"/>
      <c r="N706" s="31"/>
      <c r="O706" s="31"/>
    </row>
    <row r="707" ht="15.75" customHeight="1">
      <c r="A707" s="31"/>
      <c r="C707" s="82"/>
      <c r="H707" s="31"/>
      <c r="I707" s="11"/>
      <c r="J707" s="9"/>
      <c r="K707" s="9"/>
      <c r="L707" s="11"/>
      <c r="M707" s="31"/>
      <c r="N707" s="31"/>
      <c r="O707" s="31"/>
    </row>
    <row r="708" ht="15.75" customHeight="1">
      <c r="A708" s="31"/>
      <c r="C708" s="82"/>
      <c r="H708" s="31"/>
      <c r="I708" s="11"/>
      <c r="J708" s="9"/>
      <c r="K708" s="9"/>
      <c r="L708" s="11"/>
      <c r="M708" s="31"/>
      <c r="N708" s="31"/>
      <c r="O708" s="31"/>
    </row>
    <row r="709" ht="15.75" customHeight="1">
      <c r="A709" s="31"/>
      <c r="C709" s="82"/>
      <c r="H709" s="31"/>
      <c r="I709" s="11"/>
      <c r="J709" s="9"/>
      <c r="K709" s="9"/>
      <c r="L709" s="11"/>
      <c r="M709" s="31"/>
      <c r="N709" s="31"/>
      <c r="O709" s="31"/>
    </row>
    <row r="710" ht="15.75" customHeight="1">
      <c r="A710" s="31"/>
      <c r="C710" s="82"/>
      <c r="H710" s="31"/>
      <c r="I710" s="11"/>
      <c r="J710" s="9"/>
      <c r="K710" s="9"/>
      <c r="L710" s="11"/>
      <c r="M710" s="31"/>
      <c r="N710" s="31"/>
      <c r="O710" s="31"/>
    </row>
    <row r="711" ht="15.75" customHeight="1">
      <c r="A711" s="31"/>
      <c r="C711" s="82"/>
      <c r="H711" s="31"/>
      <c r="I711" s="11"/>
      <c r="J711" s="9"/>
      <c r="K711" s="9"/>
      <c r="L711" s="11"/>
      <c r="M711" s="31"/>
      <c r="N711" s="31"/>
      <c r="O711" s="31"/>
    </row>
    <row r="712" ht="15.75" customHeight="1">
      <c r="A712" s="31"/>
      <c r="C712" s="82"/>
      <c r="H712" s="31"/>
      <c r="I712" s="11"/>
      <c r="J712" s="9"/>
      <c r="K712" s="9"/>
      <c r="L712" s="11"/>
      <c r="M712" s="31"/>
      <c r="N712" s="31"/>
      <c r="O712" s="31"/>
    </row>
    <row r="713" ht="15.75" customHeight="1">
      <c r="A713" s="31"/>
      <c r="C713" s="82"/>
      <c r="H713" s="31"/>
      <c r="I713" s="11"/>
      <c r="J713" s="9"/>
      <c r="K713" s="9"/>
      <c r="L713" s="11"/>
      <c r="M713" s="31"/>
      <c r="N713" s="31"/>
      <c r="O713" s="31"/>
    </row>
    <row r="714" ht="15.75" customHeight="1">
      <c r="A714" s="31"/>
      <c r="C714" s="82"/>
      <c r="H714" s="31"/>
      <c r="I714" s="11"/>
      <c r="J714" s="9"/>
      <c r="K714" s="9"/>
      <c r="L714" s="11"/>
      <c r="M714" s="31"/>
      <c r="N714" s="31"/>
      <c r="O714" s="31"/>
    </row>
    <row r="715" ht="15.75" customHeight="1">
      <c r="A715" s="31"/>
      <c r="C715" s="82"/>
      <c r="H715" s="31"/>
      <c r="I715" s="11"/>
      <c r="J715" s="9"/>
      <c r="K715" s="9"/>
      <c r="L715" s="11"/>
      <c r="M715" s="31"/>
      <c r="N715" s="31"/>
      <c r="O715" s="31"/>
    </row>
    <row r="716" ht="15.75" customHeight="1">
      <c r="A716" s="31"/>
      <c r="C716" s="82"/>
      <c r="H716" s="31"/>
      <c r="I716" s="11"/>
      <c r="J716" s="9"/>
      <c r="K716" s="9"/>
      <c r="L716" s="11"/>
      <c r="M716" s="31"/>
      <c r="N716" s="31"/>
      <c r="O716" s="31"/>
    </row>
    <row r="717" ht="15.75" customHeight="1">
      <c r="A717" s="31"/>
      <c r="C717" s="82"/>
      <c r="H717" s="31"/>
      <c r="I717" s="11"/>
      <c r="J717" s="9"/>
      <c r="K717" s="9"/>
      <c r="L717" s="11"/>
      <c r="M717" s="31"/>
      <c r="N717" s="31"/>
      <c r="O717" s="31"/>
    </row>
    <row r="718" ht="15.75" customHeight="1">
      <c r="A718" s="31"/>
      <c r="C718" s="82"/>
      <c r="H718" s="31"/>
      <c r="I718" s="11"/>
      <c r="J718" s="9"/>
      <c r="K718" s="9"/>
      <c r="L718" s="11"/>
      <c r="M718" s="31"/>
      <c r="N718" s="31"/>
      <c r="O718" s="31"/>
    </row>
    <row r="719" ht="15.75" customHeight="1">
      <c r="A719" s="31"/>
      <c r="C719" s="82"/>
      <c r="H719" s="31"/>
      <c r="I719" s="11"/>
      <c r="J719" s="9"/>
      <c r="K719" s="9"/>
      <c r="L719" s="11"/>
      <c r="M719" s="31"/>
      <c r="N719" s="31"/>
      <c r="O719" s="31"/>
    </row>
    <row r="720" ht="15.75" customHeight="1">
      <c r="A720" s="31"/>
      <c r="C720" s="82"/>
      <c r="H720" s="31"/>
      <c r="I720" s="11"/>
      <c r="J720" s="9"/>
      <c r="K720" s="9"/>
      <c r="L720" s="11"/>
      <c r="M720" s="31"/>
      <c r="N720" s="31"/>
      <c r="O720" s="31"/>
    </row>
    <row r="721" ht="15.75" customHeight="1">
      <c r="A721" s="31"/>
      <c r="C721" s="82"/>
      <c r="H721" s="31"/>
      <c r="I721" s="11"/>
      <c r="J721" s="9"/>
      <c r="K721" s="9"/>
      <c r="L721" s="11"/>
      <c r="M721" s="31"/>
      <c r="N721" s="31"/>
      <c r="O721" s="31"/>
    </row>
    <row r="722" ht="15.75" customHeight="1">
      <c r="A722" s="31"/>
      <c r="C722" s="82"/>
      <c r="H722" s="31"/>
      <c r="I722" s="11"/>
      <c r="J722" s="9"/>
      <c r="K722" s="9"/>
      <c r="L722" s="11"/>
      <c r="M722" s="31"/>
      <c r="N722" s="31"/>
      <c r="O722" s="31"/>
    </row>
    <row r="723" ht="15.75" customHeight="1">
      <c r="A723" s="31"/>
      <c r="C723" s="82"/>
      <c r="H723" s="31"/>
      <c r="I723" s="11"/>
      <c r="J723" s="9"/>
      <c r="K723" s="9"/>
      <c r="L723" s="11"/>
      <c r="M723" s="31"/>
      <c r="N723" s="31"/>
      <c r="O723" s="31"/>
    </row>
    <row r="724" ht="15.75" customHeight="1">
      <c r="A724" s="31"/>
      <c r="C724" s="82"/>
      <c r="H724" s="31"/>
      <c r="I724" s="11"/>
      <c r="J724" s="9"/>
      <c r="K724" s="9"/>
      <c r="L724" s="11"/>
      <c r="M724" s="31"/>
      <c r="N724" s="31"/>
      <c r="O724" s="31"/>
    </row>
    <row r="725" ht="15.75" customHeight="1">
      <c r="A725" s="31"/>
      <c r="C725" s="82"/>
      <c r="H725" s="31"/>
      <c r="I725" s="11"/>
      <c r="J725" s="9"/>
      <c r="K725" s="9"/>
      <c r="L725" s="11"/>
      <c r="M725" s="31"/>
      <c r="N725" s="31"/>
      <c r="O725" s="31"/>
    </row>
    <row r="726" ht="15.75" customHeight="1">
      <c r="A726" s="31"/>
      <c r="C726" s="82"/>
      <c r="H726" s="31"/>
      <c r="I726" s="11"/>
      <c r="J726" s="9"/>
      <c r="K726" s="9"/>
      <c r="L726" s="11"/>
      <c r="M726" s="31"/>
      <c r="N726" s="31"/>
      <c r="O726" s="31"/>
    </row>
    <row r="727" ht="15.75" customHeight="1">
      <c r="A727" s="31"/>
      <c r="C727" s="82"/>
      <c r="H727" s="31"/>
      <c r="I727" s="11"/>
      <c r="J727" s="9"/>
      <c r="K727" s="9"/>
      <c r="L727" s="11"/>
      <c r="M727" s="31"/>
      <c r="N727" s="31"/>
      <c r="O727" s="31"/>
    </row>
    <row r="728" ht="15.75" customHeight="1">
      <c r="A728" s="31"/>
      <c r="C728" s="82"/>
      <c r="H728" s="31"/>
      <c r="I728" s="11"/>
      <c r="J728" s="9"/>
      <c r="K728" s="9"/>
      <c r="L728" s="11"/>
      <c r="M728" s="31"/>
      <c r="N728" s="31"/>
      <c r="O728" s="31"/>
    </row>
    <row r="729" ht="15.75" customHeight="1">
      <c r="A729" s="31"/>
      <c r="C729" s="82"/>
      <c r="H729" s="31"/>
      <c r="I729" s="11"/>
      <c r="J729" s="9"/>
      <c r="K729" s="9"/>
      <c r="L729" s="11"/>
      <c r="M729" s="31"/>
      <c r="N729" s="31"/>
      <c r="O729" s="31"/>
    </row>
    <row r="730" ht="15.75" customHeight="1">
      <c r="A730" s="31"/>
      <c r="C730" s="82"/>
      <c r="H730" s="31"/>
      <c r="I730" s="11"/>
      <c r="J730" s="9"/>
      <c r="K730" s="9"/>
      <c r="L730" s="11"/>
      <c r="M730" s="31"/>
      <c r="N730" s="31"/>
      <c r="O730" s="31"/>
    </row>
    <row r="731" ht="15.75" customHeight="1">
      <c r="A731" s="31"/>
      <c r="C731" s="82"/>
      <c r="H731" s="31"/>
      <c r="I731" s="11"/>
      <c r="J731" s="9"/>
      <c r="K731" s="9"/>
      <c r="L731" s="11"/>
      <c r="M731" s="31"/>
      <c r="N731" s="31"/>
      <c r="O731" s="31"/>
    </row>
    <row r="732" ht="15.75" customHeight="1">
      <c r="A732" s="31"/>
      <c r="C732" s="82"/>
      <c r="H732" s="31"/>
      <c r="I732" s="11"/>
      <c r="J732" s="9"/>
      <c r="K732" s="9"/>
      <c r="L732" s="11"/>
      <c r="M732" s="31"/>
      <c r="N732" s="31"/>
      <c r="O732" s="31"/>
    </row>
    <row r="733" ht="15.75" customHeight="1">
      <c r="A733" s="31"/>
      <c r="C733" s="82"/>
      <c r="H733" s="31"/>
      <c r="I733" s="11"/>
      <c r="J733" s="9"/>
      <c r="K733" s="9"/>
      <c r="L733" s="11"/>
      <c r="M733" s="31"/>
      <c r="N733" s="31"/>
      <c r="O733" s="31"/>
    </row>
    <row r="734" ht="15.75" customHeight="1">
      <c r="A734" s="31"/>
      <c r="C734" s="82"/>
      <c r="H734" s="31"/>
      <c r="I734" s="11"/>
      <c r="J734" s="9"/>
      <c r="K734" s="9"/>
      <c r="L734" s="11"/>
      <c r="M734" s="31"/>
      <c r="N734" s="31"/>
      <c r="O734" s="31"/>
    </row>
    <row r="735" ht="15.75" customHeight="1">
      <c r="A735" s="31"/>
      <c r="C735" s="82"/>
      <c r="H735" s="31"/>
      <c r="I735" s="11"/>
      <c r="J735" s="9"/>
      <c r="K735" s="9"/>
      <c r="L735" s="11"/>
      <c r="M735" s="31"/>
      <c r="N735" s="31"/>
      <c r="O735" s="31"/>
    </row>
    <row r="736" ht="15.75" customHeight="1">
      <c r="A736" s="31"/>
      <c r="C736" s="82"/>
      <c r="H736" s="31"/>
      <c r="I736" s="11"/>
      <c r="J736" s="9"/>
      <c r="K736" s="9"/>
      <c r="L736" s="11"/>
      <c r="M736" s="31"/>
      <c r="N736" s="31"/>
      <c r="O736" s="31"/>
    </row>
    <row r="737" ht="15.75" customHeight="1">
      <c r="A737" s="31"/>
      <c r="C737" s="82"/>
      <c r="H737" s="31"/>
      <c r="I737" s="11"/>
      <c r="J737" s="9"/>
      <c r="K737" s="9"/>
      <c r="L737" s="11"/>
      <c r="M737" s="31"/>
      <c r="N737" s="31"/>
      <c r="O737" s="31"/>
    </row>
    <row r="738" ht="15.75" customHeight="1">
      <c r="A738" s="31"/>
      <c r="C738" s="82"/>
      <c r="H738" s="31"/>
      <c r="I738" s="11"/>
      <c r="J738" s="9"/>
      <c r="K738" s="9"/>
      <c r="L738" s="11"/>
      <c r="M738" s="31"/>
      <c r="N738" s="31"/>
      <c r="O738" s="31"/>
    </row>
    <row r="739" ht="15.75" customHeight="1">
      <c r="A739" s="31"/>
      <c r="C739" s="82"/>
      <c r="H739" s="31"/>
      <c r="I739" s="11"/>
      <c r="J739" s="9"/>
      <c r="K739" s="9"/>
      <c r="L739" s="11"/>
      <c r="M739" s="31"/>
      <c r="N739" s="31"/>
      <c r="O739" s="31"/>
    </row>
    <row r="740" ht="15.75" customHeight="1">
      <c r="A740" s="31"/>
      <c r="C740" s="82"/>
      <c r="H740" s="31"/>
      <c r="I740" s="11"/>
      <c r="J740" s="9"/>
      <c r="K740" s="9"/>
      <c r="L740" s="11"/>
      <c r="M740" s="31"/>
      <c r="N740" s="31"/>
      <c r="O740" s="31"/>
    </row>
    <row r="741" ht="15.75" customHeight="1">
      <c r="A741" s="31"/>
      <c r="C741" s="82"/>
      <c r="H741" s="31"/>
      <c r="I741" s="11"/>
      <c r="J741" s="9"/>
      <c r="K741" s="9"/>
      <c r="L741" s="11"/>
      <c r="M741" s="31"/>
      <c r="N741" s="31"/>
      <c r="O741" s="31"/>
    </row>
    <row r="742" ht="15.75" customHeight="1">
      <c r="A742" s="31"/>
      <c r="C742" s="82"/>
      <c r="H742" s="31"/>
      <c r="I742" s="11"/>
      <c r="J742" s="9"/>
      <c r="K742" s="9"/>
      <c r="L742" s="11"/>
      <c r="M742" s="31"/>
      <c r="N742" s="31"/>
      <c r="O742" s="31"/>
    </row>
    <row r="743" ht="15.75" customHeight="1">
      <c r="A743" s="31"/>
      <c r="C743" s="82"/>
      <c r="H743" s="31"/>
      <c r="I743" s="11"/>
      <c r="J743" s="9"/>
      <c r="K743" s="9"/>
      <c r="L743" s="11"/>
      <c r="M743" s="31"/>
      <c r="N743" s="31"/>
      <c r="O743" s="31"/>
    </row>
    <row r="744" ht="15.75" customHeight="1">
      <c r="A744" s="31"/>
      <c r="C744" s="82"/>
      <c r="H744" s="31"/>
      <c r="I744" s="11"/>
      <c r="J744" s="9"/>
      <c r="K744" s="9"/>
      <c r="L744" s="11"/>
      <c r="M744" s="31"/>
      <c r="N744" s="31"/>
      <c r="O744" s="31"/>
    </row>
    <row r="745" ht="15.75" customHeight="1">
      <c r="A745" s="31"/>
      <c r="C745" s="82"/>
      <c r="H745" s="31"/>
      <c r="I745" s="11"/>
      <c r="J745" s="9"/>
      <c r="K745" s="9"/>
      <c r="L745" s="11"/>
      <c r="M745" s="31"/>
      <c r="N745" s="31"/>
      <c r="O745" s="31"/>
    </row>
    <row r="746" ht="15.75" customHeight="1">
      <c r="A746" s="31"/>
      <c r="C746" s="82"/>
      <c r="H746" s="31"/>
      <c r="I746" s="11"/>
      <c r="J746" s="9"/>
      <c r="K746" s="9"/>
      <c r="L746" s="11"/>
      <c r="M746" s="31"/>
      <c r="N746" s="31"/>
      <c r="O746" s="31"/>
    </row>
    <row r="747" ht="15.75" customHeight="1">
      <c r="A747" s="31"/>
      <c r="C747" s="82"/>
      <c r="H747" s="31"/>
      <c r="I747" s="11"/>
      <c r="J747" s="9"/>
      <c r="K747" s="9"/>
      <c r="L747" s="11"/>
      <c r="M747" s="31"/>
      <c r="N747" s="31"/>
      <c r="O747" s="31"/>
    </row>
    <row r="748" ht="15.75" customHeight="1">
      <c r="A748" s="31"/>
      <c r="C748" s="82"/>
      <c r="H748" s="31"/>
      <c r="I748" s="11"/>
      <c r="J748" s="9"/>
      <c r="K748" s="9"/>
      <c r="L748" s="11"/>
      <c r="M748" s="31"/>
      <c r="N748" s="31"/>
      <c r="O748" s="31"/>
    </row>
    <row r="749" ht="15.75" customHeight="1">
      <c r="A749" s="31"/>
      <c r="C749" s="82"/>
      <c r="H749" s="31"/>
      <c r="I749" s="11"/>
      <c r="J749" s="9"/>
      <c r="K749" s="9"/>
      <c r="L749" s="11"/>
      <c r="M749" s="31"/>
      <c r="N749" s="31"/>
      <c r="O749" s="31"/>
    </row>
    <row r="750" ht="15.75" customHeight="1">
      <c r="A750" s="31"/>
      <c r="C750" s="82"/>
      <c r="H750" s="31"/>
      <c r="I750" s="11"/>
      <c r="J750" s="9"/>
      <c r="K750" s="9"/>
      <c r="L750" s="11"/>
      <c r="M750" s="31"/>
      <c r="N750" s="31"/>
      <c r="O750" s="31"/>
    </row>
    <row r="751" ht="15.75" customHeight="1">
      <c r="A751" s="31"/>
      <c r="C751" s="82"/>
      <c r="H751" s="31"/>
      <c r="I751" s="11"/>
      <c r="J751" s="9"/>
      <c r="K751" s="9"/>
      <c r="L751" s="11"/>
      <c r="M751" s="31"/>
      <c r="N751" s="31"/>
      <c r="O751" s="31"/>
    </row>
    <row r="752" ht="15.75" customHeight="1">
      <c r="A752" s="31"/>
      <c r="C752" s="82"/>
      <c r="H752" s="31"/>
      <c r="I752" s="11"/>
      <c r="J752" s="9"/>
      <c r="K752" s="9"/>
      <c r="L752" s="11"/>
      <c r="M752" s="31"/>
      <c r="N752" s="31"/>
      <c r="O752" s="31"/>
    </row>
    <row r="753" ht="15.75" customHeight="1">
      <c r="A753" s="31"/>
      <c r="C753" s="82"/>
      <c r="H753" s="31"/>
      <c r="I753" s="11"/>
      <c r="J753" s="9"/>
      <c r="K753" s="9"/>
      <c r="L753" s="11"/>
      <c r="M753" s="31"/>
      <c r="N753" s="31"/>
      <c r="O753" s="31"/>
    </row>
    <row r="754" ht="15.75" customHeight="1">
      <c r="A754" s="31"/>
      <c r="C754" s="82"/>
      <c r="H754" s="31"/>
      <c r="I754" s="11"/>
      <c r="J754" s="9"/>
      <c r="K754" s="9"/>
      <c r="L754" s="11"/>
      <c r="M754" s="31"/>
      <c r="N754" s="31"/>
      <c r="O754" s="31"/>
    </row>
    <row r="755" ht="15.75" customHeight="1">
      <c r="A755" s="31"/>
      <c r="C755" s="82"/>
      <c r="H755" s="31"/>
      <c r="I755" s="11"/>
      <c r="J755" s="9"/>
      <c r="K755" s="9"/>
      <c r="L755" s="11"/>
      <c r="M755" s="31"/>
      <c r="N755" s="31"/>
      <c r="O755" s="31"/>
    </row>
    <row r="756" ht="15.75" customHeight="1">
      <c r="A756" s="31"/>
      <c r="C756" s="82"/>
      <c r="H756" s="31"/>
      <c r="I756" s="11"/>
      <c r="J756" s="9"/>
      <c r="K756" s="9"/>
      <c r="L756" s="11"/>
      <c r="M756" s="31"/>
      <c r="N756" s="31"/>
      <c r="O756" s="31"/>
    </row>
    <row r="757" ht="15.75" customHeight="1">
      <c r="A757" s="31"/>
      <c r="C757" s="82"/>
      <c r="H757" s="31"/>
      <c r="I757" s="11"/>
      <c r="J757" s="9"/>
      <c r="K757" s="9"/>
      <c r="L757" s="11"/>
      <c r="M757" s="31"/>
      <c r="N757" s="31"/>
      <c r="O757" s="31"/>
    </row>
    <row r="758" ht="15.75" customHeight="1">
      <c r="A758" s="31"/>
      <c r="C758" s="82"/>
      <c r="H758" s="31"/>
      <c r="I758" s="11"/>
      <c r="J758" s="9"/>
      <c r="K758" s="9"/>
      <c r="L758" s="11"/>
      <c r="M758" s="31"/>
      <c r="N758" s="31"/>
      <c r="O758" s="31"/>
    </row>
    <row r="759" ht="15.75" customHeight="1">
      <c r="A759" s="31"/>
      <c r="C759" s="82"/>
      <c r="H759" s="31"/>
      <c r="I759" s="11"/>
      <c r="J759" s="9"/>
      <c r="K759" s="9"/>
      <c r="L759" s="11"/>
      <c r="M759" s="31"/>
      <c r="N759" s="31"/>
      <c r="O759" s="31"/>
    </row>
    <row r="760" ht="15.75" customHeight="1">
      <c r="A760" s="31"/>
      <c r="C760" s="82"/>
      <c r="H760" s="31"/>
      <c r="I760" s="11"/>
      <c r="J760" s="9"/>
      <c r="K760" s="9"/>
      <c r="L760" s="11"/>
      <c r="M760" s="31"/>
      <c r="N760" s="31"/>
      <c r="O760" s="31"/>
    </row>
    <row r="761" ht="15.75" customHeight="1">
      <c r="A761" s="31"/>
      <c r="C761" s="82"/>
      <c r="H761" s="31"/>
      <c r="I761" s="11"/>
      <c r="J761" s="9"/>
      <c r="K761" s="9"/>
      <c r="L761" s="11"/>
      <c r="M761" s="31"/>
      <c r="N761" s="31"/>
      <c r="O761" s="31"/>
    </row>
    <row r="762" ht="15.75" customHeight="1">
      <c r="A762" s="31"/>
      <c r="C762" s="82"/>
      <c r="H762" s="31"/>
      <c r="I762" s="11"/>
      <c r="J762" s="9"/>
      <c r="K762" s="9"/>
      <c r="L762" s="11"/>
      <c r="M762" s="31"/>
      <c r="N762" s="31"/>
      <c r="O762" s="31"/>
    </row>
    <row r="763" ht="15.75" customHeight="1">
      <c r="A763" s="31"/>
      <c r="C763" s="82"/>
      <c r="H763" s="31"/>
      <c r="I763" s="11"/>
      <c r="J763" s="9"/>
      <c r="K763" s="9"/>
      <c r="L763" s="11"/>
      <c r="M763" s="31"/>
      <c r="N763" s="31"/>
      <c r="O763" s="31"/>
    </row>
    <row r="764" ht="15.75" customHeight="1">
      <c r="A764" s="31"/>
      <c r="C764" s="82"/>
      <c r="H764" s="31"/>
      <c r="I764" s="11"/>
      <c r="J764" s="9"/>
      <c r="K764" s="9"/>
      <c r="L764" s="11"/>
      <c r="M764" s="31"/>
      <c r="N764" s="31"/>
      <c r="O764" s="31"/>
    </row>
    <row r="765" ht="15.75" customHeight="1">
      <c r="A765" s="31"/>
      <c r="C765" s="82"/>
      <c r="H765" s="31"/>
      <c r="I765" s="11"/>
      <c r="J765" s="9"/>
      <c r="K765" s="9"/>
      <c r="L765" s="11"/>
      <c r="M765" s="31"/>
      <c r="N765" s="31"/>
      <c r="O765" s="31"/>
    </row>
    <row r="766" ht="15.75" customHeight="1">
      <c r="A766" s="31"/>
      <c r="C766" s="82"/>
      <c r="H766" s="31"/>
      <c r="I766" s="11"/>
      <c r="J766" s="9"/>
      <c r="K766" s="9"/>
      <c r="L766" s="11"/>
      <c r="M766" s="31"/>
      <c r="N766" s="31"/>
      <c r="O766" s="31"/>
    </row>
    <row r="767" ht="15.75" customHeight="1">
      <c r="A767" s="31"/>
      <c r="C767" s="82"/>
      <c r="H767" s="31"/>
      <c r="I767" s="11"/>
      <c r="J767" s="9"/>
      <c r="K767" s="9"/>
      <c r="L767" s="11"/>
      <c r="M767" s="31"/>
      <c r="N767" s="31"/>
      <c r="O767" s="31"/>
    </row>
    <row r="768" ht="15.75" customHeight="1">
      <c r="A768" s="31"/>
      <c r="C768" s="82"/>
      <c r="H768" s="31"/>
      <c r="I768" s="11"/>
      <c r="J768" s="9"/>
      <c r="K768" s="9"/>
      <c r="L768" s="11"/>
      <c r="M768" s="31"/>
      <c r="N768" s="31"/>
      <c r="O768" s="31"/>
    </row>
    <row r="769" ht="15.75" customHeight="1">
      <c r="A769" s="31"/>
      <c r="C769" s="82"/>
      <c r="H769" s="31"/>
      <c r="I769" s="11"/>
      <c r="J769" s="9"/>
      <c r="K769" s="9"/>
      <c r="L769" s="11"/>
      <c r="M769" s="31"/>
      <c r="N769" s="31"/>
      <c r="O769" s="31"/>
    </row>
    <row r="770" ht="15.75" customHeight="1">
      <c r="A770" s="31"/>
      <c r="C770" s="82"/>
      <c r="H770" s="31"/>
      <c r="I770" s="11"/>
      <c r="J770" s="9"/>
      <c r="K770" s="9"/>
      <c r="L770" s="11"/>
      <c r="M770" s="31"/>
      <c r="N770" s="31"/>
      <c r="O770" s="31"/>
    </row>
    <row r="771" ht="15.75" customHeight="1">
      <c r="A771" s="31"/>
      <c r="C771" s="82"/>
      <c r="H771" s="31"/>
      <c r="I771" s="11"/>
      <c r="J771" s="9"/>
      <c r="K771" s="9"/>
      <c r="L771" s="11"/>
      <c r="M771" s="31"/>
      <c r="N771" s="31"/>
      <c r="O771" s="31"/>
    </row>
    <row r="772" ht="15.75" customHeight="1">
      <c r="A772" s="31"/>
      <c r="C772" s="82"/>
      <c r="H772" s="31"/>
      <c r="I772" s="11"/>
      <c r="J772" s="9"/>
      <c r="K772" s="9"/>
      <c r="L772" s="11"/>
      <c r="M772" s="31"/>
      <c r="N772" s="31"/>
      <c r="O772" s="31"/>
    </row>
    <row r="773" ht="15.75" customHeight="1">
      <c r="A773" s="31"/>
      <c r="C773" s="82"/>
      <c r="H773" s="31"/>
      <c r="I773" s="11"/>
      <c r="J773" s="9"/>
      <c r="K773" s="9"/>
      <c r="L773" s="11"/>
      <c r="M773" s="31"/>
      <c r="N773" s="31"/>
      <c r="O773" s="31"/>
    </row>
    <row r="774" ht="15.75" customHeight="1">
      <c r="A774" s="31"/>
      <c r="C774" s="82"/>
      <c r="H774" s="31"/>
      <c r="I774" s="11"/>
      <c r="J774" s="9"/>
      <c r="K774" s="9"/>
      <c r="L774" s="11"/>
      <c r="M774" s="31"/>
      <c r="N774" s="31"/>
      <c r="O774" s="31"/>
    </row>
    <row r="775" ht="15.75" customHeight="1">
      <c r="A775" s="31"/>
      <c r="C775" s="82"/>
      <c r="H775" s="31"/>
      <c r="I775" s="11"/>
      <c r="J775" s="9"/>
      <c r="K775" s="9"/>
      <c r="L775" s="11"/>
      <c r="M775" s="31"/>
      <c r="N775" s="31"/>
      <c r="O775" s="31"/>
    </row>
    <row r="776" ht="15.75" customHeight="1">
      <c r="A776" s="31"/>
      <c r="C776" s="82"/>
      <c r="H776" s="31"/>
      <c r="I776" s="11"/>
      <c r="J776" s="9"/>
      <c r="K776" s="9"/>
      <c r="L776" s="11"/>
      <c r="M776" s="31"/>
      <c r="N776" s="31"/>
      <c r="O776" s="31"/>
    </row>
    <row r="777" ht="15.75" customHeight="1">
      <c r="A777" s="31"/>
      <c r="C777" s="82"/>
      <c r="H777" s="31"/>
      <c r="I777" s="11"/>
      <c r="J777" s="9"/>
      <c r="K777" s="9"/>
      <c r="L777" s="11"/>
      <c r="M777" s="31"/>
      <c r="N777" s="31"/>
      <c r="O777" s="31"/>
    </row>
    <row r="778" ht="15.75" customHeight="1">
      <c r="A778" s="31"/>
      <c r="C778" s="82"/>
      <c r="H778" s="31"/>
      <c r="I778" s="11"/>
      <c r="J778" s="9"/>
      <c r="K778" s="9"/>
      <c r="L778" s="11"/>
      <c r="M778" s="31"/>
      <c r="N778" s="31"/>
      <c r="O778" s="31"/>
    </row>
    <row r="779" ht="15.75" customHeight="1">
      <c r="A779" s="31"/>
      <c r="C779" s="82"/>
      <c r="H779" s="31"/>
      <c r="I779" s="11"/>
      <c r="J779" s="9"/>
      <c r="K779" s="9"/>
      <c r="L779" s="11"/>
      <c r="M779" s="31"/>
      <c r="N779" s="31"/>
      <c r="O779" s="31"/>
    </row>
    <row r="780" ht="15.75" customHeight="1">
      <c r="A780" s="31"/>
      <c r="C780" s="82"/>
      <c r="H780" s="31"/>
      <c r="I780" s="11"/>
      <c r="J780" s="9"/>
      <c r="K780" s="9"/>
      <c r="L780" s="11"/>
      <c r="M780" s="31"/>
      <c r="N780" s="31"/>
      <c r="O780" s="31"/>
    </row>
    <row r="781" ht="15.75" customHeight="1">
      <c r="A781" s="31"/>
      <c r="C781" s="82"/>
      <c r="H781" s="31"/>
      <c r="I781" s="11"/>
      <c r="J781" s="9"/>
      <c r="K781" s="9"/>
      <c r="L781" s="11"/>
      <c r="M781" s="31"/>
      <c r="N781" s="31"/>
      <c r="O781" s="31"/>
    </row>
    <row r="782" ht="15.75" customHeight="1">
      <c r="A782" s="31"/>
      <c r="C782" s="82"/>
      <c r="H782" s="31"/>
      <c r="I782" s="11"/>
      <c r="J782" s="9"/>
      <c r="K782" s="9"/>
      <c r="L782" s="11"/>
      <c r="M782" s="31"/>
      <c r="N782" s="31"/>
      <c r="O782" s="31"/>
    </row>
    <row r="783" ht="15.75" customHeight="1">
      <c r="A783" s="31"/>
      <c r="C783" s="82"/>
      <c r="H783" s="31"/>
      <c r="I783" s="11"/>
      <c r="J783" s="9"/>
      <c r="K783" s="9"/>
      <c r="L783" s="11"/>
      <c r="M783" s="31"/>
      <c r="N783" s="31"/>
      <c r="O783" s="31"/>
    </row>
    <row r="784" ht="15.75" customHeight="1">
      <c r="A784" s="31"/>
      <c r="C784" s="82"/>
      <c r="H784" s="31"/>
      <c r="I784" s="11"/>
      <c r="J784" s="9"/>
      <c r="K784" s="9"/>
      <c r="L784" s="11"/>
      <c r="M784" s="31"/>
      <c r="N784" s="31"/>
      <c r="O784" s="31"/>
    </row>
    <row r="785" ht="15.75" customHeight="1">
      <c r="A785" s="31"/>
      <c r="C785" s="82"/>
      <c r="H785" s="31"/>
      <c r="I785" s="11"/>
      <c r="J785" s="9"/>
      <c r="K785" s="9"/>
      <c r="L785" s="11"/>
      <c r="M785" s="31"/>
      <c r="N785" s="31"/>
      <c r="O785" s="31"/>
    </row>
    <row r="786" ht="15.75" customHeight="1">
      <c r="A786" s="31"/>
      <c r="C786" s="82"/>
      <c r="H786" s="31"/>
      <c r="I786" s="11"/>
      <c r="J786" s="9"/>
      <c r="K786" s="9"/>
      <c r="L786" s="11"/>
      <c r="M786" s="31"/>
      <c r="N786" s="31"/>
      <c r="O786" s="31"/>
    </row>
    <row r="787" ht="15.75" customHeight="1">
      <c r="A787" s="31"/>
      <c r="C787" s="82"/>
      <c r="H787" s="31"/>
      <c r="I787" s="11"/>
      <c r="J787" s="9"/>
      <c r="K787" s="9"/>
      <c r="L787" s="11"/>
      <c r="M787" s="31"/>
      <c r="N787" s="31"/>
      <c r="O787" s="31"/>
    </row>
    <row r="788" ht="15.75" customHeight="1">
      <c r="A788" s="31"/>
      <c r="C788" s="82"/>
      <c r="H788" s="31"/>
      <c r="I788" s="11"/>
      <c r="J788" s="9"/>
      <c r="K788" s="9"/>
      <c r="L788" s="11"/>
      <c r="M788" s="31"/>
      <c r="N788" s="31"/>
      <c r="O788" s="31"/>
    </row>
    <row r="789" ht="15.75" customHeight="1">
      <c r="A789" s="31"/>
      <c r="C789" s="82"/>
      <c r="H789" s="31"/>
      <c r="I789" s="11"/>
      <c r="J789" s="9"/>
      <c r="K789" s="9"/>
      <c r="L789" s="11"/>
      <c r="M789" s="31"/>
      <c r="N789" s="31"/>
      <c r="O789" s="31"/>
    </row>
    <row r="790" ht="15.75" customHeight="1">
      <c r="A790" s="31"/>
      <c r="C790" s="82"/>
      <c r="H790" s="31"/>
      <c r="I790" s="11"/>
      <c r="J790" s="9"/>
      <c r="K790" s="9"/>
      <c r="L790" s="11"/>
      <c r="M790" s="31"/>
      <c r="N790" s="31"/>
      <c r="O790" s="31"/>
    </row>
    <row r="791" ht="15.75" customHeight="1">
      <c r="A791" s="31"/>
      <c r="C791" s="82"/>
      <c r="H791" s="31"/>
      <c r="I791" s="11"/>
      <c r="J791" s="9"/>
      <c r="K791" s="9"/>
      <c r="L791" s="11"/>
      <c r="M791" s="31"/>
      <c r="N791" s="31"/>
      <c r="O791" s="31"/>
    </row>
    <row r="792" ht="15.75" customHeight="1">
      <c r="A792" s="31"/>
      <c r="C792" s="82"/>
      <c r="H792" s="31"/>
      <c r="I792" s="11"/>
      <c r="J792" s="9"/>
      <c r="K792" s="9"/>
      <c r="L792" s="11"/>
      <c r="M792" s="31"/>
      <c r="N792" s="31"/>
      <c r="O792" s="31"/>
    </row>
    <row r="793" ht="15.75" customHeight="1">
      <c r="A793" s="31"/>
      <c r="C793" s="82"/>
      <c r="H793" s="31"/>
      <c r="I793" s="11"/>
      <c r="J793" s="9"/>
      <c r="K793" s="9"/>
      <c r="L793" s="11"/>
      <c r="M793" s="31"/>
      <c r="N793" s="31"/>
      <c r="O793" s="31"/>
    </row>
    <row r="794" ht="15.75" customHeight="1">
      <c r="A794" s="31"/>
      <c r="C794" s="82"/>
      <c r="H794" s="31"/>
      <c r="I794" s="11"/>
      <c r="J794" s="9"/>
      <c r="K794" s="9"/>
      <c r="L794" s="11"/>
      <c r="M794" s="31"/>
      <c r="N794" s="31"/>
      <c r="O794" s="31"/>
    </row>
    <row r="795" ht="15.75" customHeight="1">
      <c r="A795" s="31"/>
      <c r="C795" s="82"/>
      <c r="H795" s="31"/>
      <c r="I795" s="11"/>
      <c r="J795" s="9"/>
      <c r="K795" s="9"/>
      <c r="L795" s="11"/>
      <c r="M795" s="31"/>
      <c r="N795" s="31"/>
      <c r="O795" s="31"/>
    </row>
    <row r="796" ht="15.75" customHeight="1">
      <c r="A796" s="31"/>
      <c r="C796" s="82"/>
      <c r="H796" s="31"/>
      <c r="I796" s="11"/>
      <c r="J796" s="9"/>
      <c r="K796" s="9"/>
      <c r="L796" s="11"/>
      <c r="M796" s="31"/>
      <c r="N796" s="31"/>
      <c r="O796" s="31"/>
    </row>
    <row r="797" ht="15.75" customHeight="1">
      <c r="A797" s="31"/>
      <c r="C797" s="82"/>
      <c r="H797" s="31"/>
      <c r="I797" s="11"/>
      <c r="J797" s="9"/>
      <c r="K797" s="9"/>
      <c r="L797" s="11"/>
      <c r="M797" s="31"/>
      <c r="N797" s="31"/>
      <c r="O797" s="31"/>
    </row>
    <row r="798" ht="15.75" customHeight="1">
      <c r="A798" s="31"/>
      <c r="C798" s="82"/>
      <c r="H798" s="31"/>
      <c r="I798" s="11"/>
      <c r="J798" s="9"/>
      <c r="K798" s="9"/>
      <c r="L798" s="11"/>
      <c r="M798" s="31"/>
      <c r="N798" s="31"/>
      <c r="O798" s="31"/>
    </row>
    <row r="799" ht="15.75" customHeight="1">
      <c r="A799" s="31"/>
      <c r="C799" s="82"/>
      <c r="H799" s="31"/>
      <c r="I799" s="11"/>
      <c r="J799" s="9"/>
      <c r="K799" s="9"/>
      <c r="L799" s="11"/>
      <c r="M799" s="31"/>
      <c r="N799" s="31"/>
      <c r="O799" s="31"/>
    </row>
    <row r="800" ht="15.75" customHeight="1">
      <c r="A800" s="31"/>
      <c r="C800" s="82"/>
      <c r="H800" s="31"/>
      <c r="I800" s="11"/>
      <c r="J800" s="9"/>
      <c r="K800" s="9"/>
      <c r="L800" s="11"/>
      <c r="M800" s="31"/>
      <c r="N800" s="31"/>
      <c r="O800" s="31"/>
    </row>
    <row r="801" ht="15.75" customHeight="1">
      <c r="A801" s="31"/>
      <c r="C801" s="82"/>
      <c r="H801" s="31"/>
      <c r="I801" s="11"/>
      <c r="J801" s="9"/>
      <c r="K801" s="9"/>
      <c r="L801" s="11"/>
      <c r="M801" s="31"/>
      <c r="N801" s="31"/>
      <c r="O801" s="31"/>
    </row>
    <row r="802" ht="15.75" customHeight="1">
      <c r="A802" s="31"/>
      <c r="C802" s="82"/>
      <c r="H802" s="31"/>
      <c r="I802" s="11"/>
      <c r="J802" s="9"/>
      <c r="K802" s="9"/>
      <c r="L802" s="11"/>
      <c r="M802" s="31"/>
      <c r="N802" s="31"/>
      <c r="O802" s="31"/>
    </row>
    <row r="803" ht="15.75" customHeight="1">
      <c r="A803" s="31"/>
      <c r="C803" s="82"/>
      <c r="H803" s="31"/>
      <c r="I803" s="11"/>
      <c r="J803" s="9"/>
      <c r="K803" s="9"/>
      <c r="L803" s="11"/>
      <c r="M803" s="31"/>
      <c r="N803" s="31"/>
      <c r="O803" s="31"/>
    </row>
    <row r="804" ht="15.75" customHeight="1">
      <c r="A804" s="31"/>
      <c r="C804" s="82"/>
      <c r="H804" s="31"/>
      <c r="I804" s="11"/>
      <c r="J804" s="9"/>
      <c r="K804" s="9"/>
      <c r="L804" s="11"/>
      <c r="M804" s="31"/>
      <c r="N804" s="31"/>
      <c r="O804" s="31"/>
    </row>
    <row r="805" ht="15.75" customHeight="1">
      <c r="A805" s="31"/>
      <c r="C805" s="82"/>
      <c r="H805" s="31"/>
      <c r="I805" s="11"/>
      <c r="J805" s="9"/>
      <c r="K805" s="9"/>
      <c r="L805" s="11"/>
      <c r="M805" s="31"/>
      <c r="N805" s="31"/>
      <c r="O805" s="31"/>
    </row>
    <row r="806" ht="15.75" customHeight="1">
      <c r="A806" s="31"/>
      <c r="C806" s="82"/>
      <c r="H806" s="31"/>
      <c r="I806" s="11"/>
      <c r="J806" s="9"/>
      <c r="K806" s="9"/>
      <c r="L806" s="11"/>
      <c r="M806" s="31"/>
      <c r="N806" s="31"/>
      <c r="O806" s="31"/>
    </row>
    <row r="807" ht="15.75" customHeight="1">
      <c r="A807" s="31"/>
      <c r="C807" s="82"/>
      <c r="H807" s="31"/>
      <c r="I807" s="11"/>
      <c r="J807" s="9"/>
      <c r="K807" s="9"/>
      <c r="L807" s="11"/>
      <c r="M807" s="31"/>
      <c r="N807" s="31"/>
      <c r="O807" s="31"/>
    </row>
    <row r="808" ht="15.75" customHeight="1">
      <c r="A808" s="31"/>
      <c r="C808" s="82"/>
      <c r="H808" s="31"/>
      <c r="I808" s="11"/>
      <c r="J808" s="9"/>
      <c r="K808" s="9"/>
      <c r="L808" s="11"/>
      <c r="M808" s="31"/>
      <c r="N808" s="31"/>
      <c r="O808" s="31"/>
    </row>
    <row r="809" ht="15.75" customHeight="1">
      <c r="A809" s="31"/>
      <c r="C809" s="82"/>
      <c r="H809" s="31"/>
      <c r="I809" s="11"/>
      <c r="J809" s="9"/>
      <c r="K809" s="9"/>
      <c r="L809" s="11"/>
      <c r="M809" s="31"/>
      <c r="N809" s="31"/>
      <c r="O809" s="31"/>
    </row>
    <row r="810" ht="15.75" customHeight="1">
      <c r="A810" s="31"/>
      <c r="C810" s="82"/>
      <c r="H810" s="31"/>
      <c r="I810" s="11"/>
      <c r="J810" s="9"/>
      <c r="K810" s="9"/>
      <c r="L810" s="11"/>
      <c r="M810" s="31"/>
      <c r="N810" s="31"/>
      <c r="O810" s="31"/>
    </row>
    <row r="811" ht="15.75" customHeight="1">
      <c r="A811" s="31"/>
      <c r="C811" s="82"/>
      <c r="H811" s="31"/>
      <c r="I811" s="11"/>
      <c r="J811" s="9"/>
      <c r="K811" s="9"/>
      <c r="L811" s="11"/>
      <c r="M811" s="31"/>
      <c r="N811" s="31"/>
      <c r="O811" s="31"/>
    </row>
    <row r="812" ht="15.75" customHeight="1">
      <c r="A812" s="31"/>
      <c r="C812" s="82"/>
      <c r="H812" s="31"/>
      <c r="I812" s="11"/>
      <c r="J812" s="9"/>
      <c r="K812" s="9"/>
      <c r="L812" s="11"/>
      <c r="M812" s="31"/>
      <c r="N812" s="31"/>
      <c r="O812" s="31"/>
    </row>
    <row r="813" ht="15.75" customHeight="1">
      <c r="A813" s="31"/>
      <c r="C813" s="82"/>
      <c r="H813" s="31"/>
      <c r="I813" s="11"/>
      <c r="J813" s="9"/>
      <c r="K813" s="9"/>
      <c r="L813" s="11"/>
      <c r="M813" s="31"/>
      <c r="N813" s="31"/>
      <c r="O813" s="31"/>
    </row>
    <row r="814" ht="15.75" customHeight="1">
      <c r="A814" s="31"/>
      <c r="C814" s="82"/>
      <c r="H814" s="31"/>
      <c r="I814" s="11"/>
      <c r="J814" s="9"/>
      <c r="K814" s="9"/>
      <c r="L814" s="11"/>
      <c r="M814" s="31"/>
      <c r="N814" s="31"/>
      <c r="O814" s="31"/>
    </row>
    <row r="815" ht="15.75" customHeight="1">
      <c r="A815" s="31"/>
      <c r="C815" s="82"/>
      <c r="H815" s="31"/>
      <c r="I815" s="11"/>
      <c r="J815" s="9"/>
      <c r="K815" s="9"/>
      <c r="L815" s="11"/>
      <c r="M815" s="31"/>
      <c r="N815" s="31"/>
      <c r="O815" s="31"/>
    </row>
    <row r="816" ht="15.75" customHeight="1">
      <c r="A816" s="31"/>
      <c r="C816" s="82"/>
      <c r="H816" s="31"/>
      <c r="I816" s="11"/>
      <c r="J816" s="9"/>
      <c r="K816" s="9"/>
      <c r="L816" s="11"/>
      <c r="M816" s="31"/>
      <c r="N816" s="31"/>
      <c r="O816" s="31"/>
    </row>
    <row r="817" ht="15.75" customHeight="1">
      <c r="A817" s="31"/>
      <c r="C817" s="82"/>
      <c r="H817" s="31"/>
      <c r="I817" s="11"/>
      <c r="J817" s="9"/>
      <c r="K817" s="9"/>
      <c r="L817" s="11"/>
      <c r="M817" s="31"/>
      <c r="N817" s="31"/>
      <c r="O817" s="31"/>
    </row>
    <row r="818" ht="15.75" customHeight="1">
      <c r="A818" s="31"/>
      <c r="C818" s="82"/>
      <c r="H818" s="31"/>
      <c r="I818" s="11"/>
      <c r="J818" s="9"/>
      <c r="K818" s="9"/>
      <c r="L818" s="11"/>
      <c r="M818" s="31"/>
      <c r="N818" s="31"/>
      <c r="O818" s="31"/>
    </row>
    <row r="819" ht="15.75" customHeight="1">
      <c r="A819" s="31"/>
      <c r="C819" s="82"/>
      <c r="H819" s="31"/>
      <c r="I819" s="11"/>
      <c r="J819" s="9"/>
      <c r="K819" s="9"/>
      <c r="L819" s="11"/>
      <c r="M819" s="31"/>
      <c r="N819" s="31"/>
      <c r="O819" s="31"/>
    </row>
    <row r="820" ht="15.75" customHeight="1">
      <c r="A820" s="31"/>
      <c r="C820" s="82"/>
      <c r="H820" s="31"/>
      <c r="I820" s="11"/>
      <c r="J820" s="9"/>
      <c r="K820" s="9"/>
      <c r="L820" s="11"/>
      <c r="M820" s="31"/>
      <c r="N820" s="31"/>
      <c r="O820" s="31"/>
    </row>
    <row r="821" ht="15.75" customHeight="1">
      <c r="A821" s="31"/>
      <c r="C821" s="82"/>
      <c r="H821" s="31"/>
      <c r="I821" s="11"/>
      <c r="J821" s="9"/>
      <c r="K821" s="9"/>
      <c r="L821" s="11"/>
      <c r="M821" s="31"/>
      <c r="N821" s="31"/>
      <c r="O821" s="31"/>
    </row>
    <row r="822" ht="15.75" customHeight="1">
      <c r="A822" s="31"/>
      <c r="C822" s="82"/>
      <c r="H822" s="31"/>
      <c r="I822" s="11"/>
      <c r="J822" s="9"/>
      <c r="K822" s="9"/>
      <c r="L822" s="11"/>
      <c r="M822" s="31"/>
      <c r="N822" s="31"/>
      <c r="O822" s="31"/>
    </row>
    <row r="823" ht="15.75" customHeight="1">
      <c r="A823" s="31"/>
      <c r="C823" s="82"/>
      <c r="H823" s="31"/>
      <c r="I823" s="11"/>
      <c r="J823" s="9"/>
      <c r="K823" s="9"/>
      <c r="L823" s="11"/>
      <c r="M823" s="31"/>
      <c r="N823" s="31"/>
      <c r="O823" s="31"/>
    </row>
    <row r="824" ht="15.75" customHeight="1">
      <c r="A824" s="31"/>
      <c r="C824" s="82"/>
      <c r="H824" s="31"/>
      <c r="I824" s="11"/>
      <c r="J824" s="9"/>
      <c r="K824" s="9"/>
      <c r="L824" s="11"/>
      <c r="M824" s="31"/>
      <c r="N824" s="31"/>
      <c r="O824" s="31"/>
    </row>
    <row r="825" ht="15.75" customHeight="1">
      <c r="A825" s="31"/>
      <c r="C825" s="82"/>
      <c r="H825" s="31"/>
      <c r="I825" s="11"/>
      <c r="J825" s="9"/>
      <c r="K825" s="9"/>
      <c r="L825" s="11"/>
      <c r="M825" s="31"/>
      <c r="N825" s="31"/>
      <c r="O825" s="31"/>
    </row>
    <row r="826" ht="15.75" customHeight="1">
      <c r="A826" s="31"/>
      <c r="C826" s="82"/>
      <c r="H826" s="31"/>
      <c r="I826" s="11"/>
      <c r="J826" s="9"/>
      <c r="K826" s="9"/>
      <c r="L826" s="11"/>
      <c r="M826" s="31"/>
      <c r="N826" s="31"/>
      <c r="O826" s="31"/>
    </row>
    <row r="827" ht="15.75" customHeight="1">
      <c r="A827" s="31"/>
      <c r="C827" s="82"/>
      <c r="H827" s="31"/>
      <c r="I827" s="11"/>
      <c r="J827" s="9"/>
      <c r="K827" s="9"/>
      <c r="L827" s="11"/>
      <c r="M827" s="31"/>
      <c r="N827" s="31"/>
      <c r="O827" s="31"/>
    </row>
    <row r="828" ht="15.75" customHeight="1">
      <c r="A828" s="31"/>
      <c r="C828" s="82"/>
      <c r="H828" s="31"/>
      <c r="I828" s="11"/>
      <c r="J828" s="9"/>
      <c r="K828" s="9"/>
      <c r="L828" s="11"/>
      <c r="M828" s="31"/>
      <c r="N828" s="31"/>
      <c r="O828" s="31"/>
    </row>
    <row r="829" ht="15.75" customHeight="1">
      <c r="A829" s="31"/>
      <c r="C829" s="82"/>
      <c r="H829" s="31"/>
      <c r="I829" s="11"/>
      <c r="J829" s="9"/>
      <c r="K829" s="9"/>
      <c r="L829" s="11"/>
      <c r="M829" s="31"/>
      <c r="N829" s="31"/>
      <c r="O829" s="31"/>
    </row>
    <row r="830" ht="15.75" customHeight="1">
      <c r="A830" s="31"/>
      <c r="C830" s="82"/>
      <c r="H830" s="31"/>
      <c r="I830" s="11"/>
      <c r="J830" s="9"/>
      <c r="K830" s="9"/>
      <c r="L830" s="11"/>
      <c r="M830" s="31"/>
      <c r="N830" s="31"/>
      <c r="O830" s="31"/>
    </row>
    <row r="831" ht="15.75" customHeight="1">
      <c r="A831" s="31"/>
      <c r="C831" s="82"/>
      <c r="H831" s="31"/>
      <c r="I831" s="11"/>
      <c r="J831" s="9"/>
      <c r="K831" s="9"/>
      <c r="L831" s="11"/>
      <c r="M831" s="31"/>
      <c r="N831" s="31"/>
      <c r="O831" s="31"/>
    </row>
    <row r="832" ht="15.75" customHeight="1">
      <c r="A832" s="31"/>
      <c r="C832" s="82"/>
      <c r="H832" s="31"/>
      <c r="I832" s="11"/>
      <c r="J832" s="9"/>
      <c r="K832" s="9"/>
      <c r="L832" s="11"/>
      <c r="M832" s="31"/>
      <c r="N832" s="31"/>
      <c r="O832" s="31"/>
    </row>
    <row r="833" ht="15.75" customHeight="1">
      <c r="A833" s="31"/>
      <c r="C833" s="82"/>
      <c r="H833" s="31"/>
      <c r="I833" s="11"/>
      <c r="J833" s="9"/>
      <c r="K833" s="9"/>
      <c r="L833" s="11"/>
      <c r="M833" s="31"/>
      <c r="N833" s="31"/>
      <c r="O833" s="31"/>
    </row>
    <row r="834" ht="15.75" customHeight="1">
      <c r="A834" s="31"/>
      <c r="C834" s="82"/>
      <c r="H834" s="31"/>
      <c r="I834" s="11"/>
      <c r="J834" s="9"/>
      <c r="K834" s="9"/>
      <c r="L834" s="11"/>
      <c r="M834" s="31"/>
      <c r="N834" s="31"/>
      <c r="O834" s="31"/>
    </row>
    <row r="835" ht="15.75" customHeight="1">
      <c r="A835" s="31"/>
      <c r="C835" s="82"/>
      <c r="H835" s="31"/>
      <c r="I835" s="11"/>
      <c r="J835" s="9"/>
      <c r="K835" s="9"/>
      <c r="L835" s="11"/>
      <c r="M835" s="31"/>
      <c r="N835" s="31"/>
      <c r="O835" s="31"/>
    </row>
    <row r="836" ht="15.75" customHeight="1">
      <c r="A836" s="31"/>
      <c r="C836" s="82"/>
      <c r="H836" s="31"/>
      <c r="I836" s="11"/>
      <c r="J836" s="9"/>
      <c r="K836" s="9"/>
      <c r="L836" s="11"/>
      <c r="M836" s="31"/>
      <c r="N836" s="31"/>
      <c r="O836" s="31"/>
    </row>
    <row r="837" ht="15.75" customHeight="1">
      <c r="A837" s="31"/>
      <c r="C837" s="82"/>
      <c r="H837" s="31"/>
      <c r="I837" s="11"/>
      <c r="J837" s="9"/>
      <c r="K837" s="9"/>
      <c r="L837" s="11"/>
      <c r="M837" s="31"/>
      <c r="N837" s="31"/>
      <c r="O837" s="31"/>
    </row>
    <row r="838" ht="15.75" customHeight="1">
      <c r="A838" s="31"/>
      <c r="C838" s="82"/>
      <c r="H838" s="31"/>
      <c r="I838" s="11"/>
      <c r="J838" s="9"/>
      <c r="K838" s="9"/>
      <c r="L838" s="11"/>
      <c r="M838" s="31"/>
      <c r="N838" s="31"/>
      <c r="O838" s="31"/>
    </row>
    <row r="839" ht="15.75" customHeight="1">
      <c r="A839" s="31"/>
      <c r="C839" s="82"/>
      <c r="H839" s="31"/>
      <c r="I839" s="11"/>
      <c r="J839" s="9"/>
      <c r="K839" s="9"/>
      <c r="L839" s="11"/>
      <c r="M839" s="31"/>
      <c r="N839" s="31"/>
      <c r="O839" s="31"/>
    </row>
    <row r="840" ht="15.75" customHeight="1">
      <c r="A840" s="31"/>
      <c r="C840" s="82"/>
      <c r="H840" s="31"/>
      <c r="I840" s="11"/>
      <c r="J840" s="9"/>
      <c r="K840" s="9"/>
      <c r="L840" s="11"/>
      <c r="M840" s="31"/>
      <c r="N840" s="31"/>
      <c r="O840" s="31"/>
    </row>
    <row r="841" ht="15.75" customHeight="1">
      <c r="A841" s="31"/>
      <c r="C841" s="82"/>
      <c r="H841" s="31"/>
      <c r="I841" s="11"/>
      <c r="J841" s="9"/>
      <c r="K841" s="9"/>
      <c r="L841" s="11"/>
      <c r="M841" s="31"/>
      <c r="N841" s="31"/>
      <c r="O841" s="31"/>
    </row>
    <row r="842" ht="15.75" customHeight="1">
      <c r="A842" s="31"/>
      <c r="C842" s="82"/>
      <c r="H842" s="31"/>
      <c r="I842" s="11"/>
      <c r="J842" s="9"/>
      <c r="K842" s="9"/>
      <c r="L842" s="11"/>
      <c r="M842" s="31"/>
      <c r="N842" s="31"/>
      <c r="O842" s="31"/>
    </row>
    <row r="843" ht="15.75" customHeight="1">
      <c r="A843" s="31"/>
      <c r="C843" s="82"/>
      <c r="H843" s="31"/>
      <c r="I843" s="11"/>
      <c r="J843" s="9"/>
      <c r="K843" s="9"/>
      <c r="L843" s="11"/>
      <c r="M843" s="31"/>
      <c r="N843" s="31"/>
      <c r="O843" s="31"/>
    </row>
    <row r="844" ht="15.75" customHeight="1">
      <c r="A844" s="31"/>
      <c r="C844" s="82"/>
      <c r="H844" s="31"/>
      <c r="I844" s="11"/>
      <c r="J844" s="9"/>
      <c r="K844" s="9"/>
      <c r="L844" s="11"/>
      <c r="M844" s="31"/>
      <c r="N844" s="31"/>
      <c r="O844" s="31"/>
    </row>
    <row r="845" ht="15.75" customHeight="1">
      <c r="A845" s="31"/>
      <c r="C845" s="82"/>
      <c r="H845" s="31"/>
      <c r="I845" s="11"/>
      <c r="J845" s="9"/>
      <c r="K845" s="9"/>
      <c r="L845" s="11"/>
      <c r="M845" s="31"/>
      <c r="N845" s="31"/>
      <c r="O845" s="31"/>
    </row>
    <row r="846" ht="15.75" customHeight="1">
      <c r="A846" s="31"/>
      <c r="C846" s="82"/>
      <c r="H846" s="31"/>
      <c r="I846" s="11"/>
      <c r="J846" s="9"/>
      <c r="K846" s="9"/>
      <c r="L846" s="11"/>
      <c r="M846" s="31"/>
      <c r="N846" s="31"/>
      <c r="O846" s="31"/>
    </row>
    <row r="847" ht="15.75" customHeight="1">
      <c r="A847" s="31"/>
      <c r="C847" s="82"/>
      <c r="H847" s="31"/>
      <c r="I847" s="11"/>
      <c r="J847" s="9"/>
      <c r="K847" s="9"/>
      <c r="L847" s="11"/>
      <c r="M847" s="31"/>
      <c r="N847" s="31"/>
      <c r="O847" s="31"/>
    </row>
    <row r="848" ht="15.75" customHeight="1">
      <c r="A848" s="31"/>
      <c r="C848" s="82"/>
      <c r="H848" s="31"/>
      <c r="I848" s="11"/>
      <c r="J848" s="9"/>
      <c r="K848" s="9"/>
      <c r="L848" s="11"/>
      <c r="M848" s="31"/>
      <c r="N848" s="31"/>
      <c r="O848" s="31"/>
    </row>
    <row r="849" ht="15.75" customHeight="1">
      <c r="A849" s="31"/>
      <c r="C849" s="82"/>
      <c r="H849" s="31"/>
      <c r="I849" s="11"/>
      <c r="J849" s="9"/>
      <c r="K849" s="9"/>
      <c r="L849" s="11"/>
      <c r="M849" s="31"/>
      <c r="N849" s="31"/>
      <c r="O849" s="31"/>
    </row>
    <row r="850" ht="15.75" customHeight="1">
      <c r="A850" s="31"/>
      <c r="C850" s="82"/>
      <c r="H850" s="31"/>
      <c r="I850" s="11"/>
      <c r="J850" s="9"/>
      <c r="K850" s="9"/>
      <c r="L850" s="11"/>
      <c r="M850" s="31"/>
      <c r="N850" s="31"/>
      <c r="O850" s="31"/>
    </row>
    <row r="851" ht="15.75" customHeight="1">
      <c r="A851" s="31"/>
      <c r="C851" s="82"/>
      <c r="H851" s="31"/>
      <c r="I851" s="11"/>
      <c r="J851" s="9"/>
      <c r="K851" s="9"/>
      <c r="L851" s="11"/>
      <c r="M851" s="31"/>
      <c r="N851" s="31"/>
      <c r="O851" s="31"/>
    </row>
    <row r="852" ht="15.75" customHeight="1">
      <c r="A852" s="31"/>
      <c r="C852" s="82"/>
      <c r="H852" s="31"/>
      <c r="I852" s="11"/>
      <c r="J852" s="9"/>
      <c r="K852" s="9"/>
      <c r="L852" s="11"/>
      <c r="M852" s="31"/>
      <c r="N852" s="31"/>
      <c r="O852" s="31"/>
    </row>
    <row r="853" ht="15.75" customHeight="1">
      <c r="A853" s="31"/>
      <c r="C853" s="82"/>
      <c r="H853" s="31"/>
      <c r="I853" s="11"/>
      <c r="J853" s="9"/>
      <c r="K853" s="9"/>
      <c r="L853" s="11"/>
      <c r="M853" s="31"/>
      <c r="N853" s="31"/>
      <c r="O853" s="31"/>
    </row>
    <row r="854" ht="15.75" customHeight="1">
      <c r="A854" s="31"/>
      <c r="C854" s="82"/>
      <c r="H854" s="31"/>
      <c r="I854" s="11"/>
      <c r="J854" s="9"/>
      <c r="K854" s="9"/>
      <c r="L854" s="11"/>
      <c r="M854" s="31"/>
      <c r="N854" s="31"/>
      <c r="O854" s="31"/>
    </row>
    <row r="855" ht="15.75" customHeight="1">
      <c r="A855" s="31"/>
      <c r="C855" s="82"/>
      <c r="H855" s="31"/>
      <c r="I855" s="11"/>
      <c r="J855" s="9"/>
      <c r="K855" s="9"/>
      <c r="L855" s="11"/>
      <c r="M855" s="31"/>
      <c r="N855" s="31"/>
      <c r="O855" s="31"/>
    </row>
    <row r="856" ht="15.75" customHeight="1">
      <c r="A856" s="31"/>
      <c r="C856" s="82"/>
      <c r="H856" s="31"/>
      <c r="I856" s="11"/>
      <c r="J856" s="9"/>
      <c r="K856" s="9"/>
      <c r="L856" s="11"/>
      <c r="M856" s="31"/>
      <c r="N856" s="31"/>
      <c r="O856" s="31"/>
    </row>
    <row r="857" ht="15.75" customHeight="1">
      <c r="A857" s="31"/>
      <c r="C857" s="82"/>
      <c r="H857" s="31"/>
      <c r="I857" s="11"/>
      <c r="J857" s="9"/>
      <c r="K857" s="9"/>
      <c r="L857" s="11"/>
      <c r="M857" s="31"/>
      <c r="N857" s="31"/>
      <c r="O857" s="31"/>
    </row>
    <row r="858" ht="15.75" customHeight="1">
      <c r="A858" s="31"/>
      <c r="C858" s="82"/>
      <c r="H858" s="31"/>
      <c r="I858" s="11"/>
      <c r="J858" s="9"/>
      <c r="K858" s="9"/>
      <c r="L858" s="11"/>
      <c r="M858" s="31"/>
      <c r="N858" s="31"/>
      <c r="O858" s="31"/>
    </row>
    <row r="859" ht="15.75" customHeight="1">
      <c r="A859" s="31"/>
      <c r="C859" s="82"/>
      <c r="H859" s="31"/>
      <c r="I859" s="11"/>
      <c r="J859" s="9"/>
      <c r="K859" s="9"/>
      <c r="L859" s="11"/>
      <c r="M859" s="31"/>
      <c r="N859" s="31"/>
      <c r="O859" s="31"/>
    </row>
    <row r="860" ht="15.75" customHeight="1">
      <c r="A860" s="31"/>
      <c r="C860" s="82"/>
      <c r="H860" s="31"/>
      <c r="I860" s="11"/>
      <c r="J860" s="9"/>
      <c r="K860" s="9"/>
      <c r="L860" s="11"/>
      <c r="M860" s="31"/>
      <c r="N860" s="31"/>
      <c r="O860" s="31"/>
    </row>
    <row r="861" ht="15.75" customHeight="1">
      <c r="A861" s="31"/>
      <c r="C861" s="82"/>
      <c r="H861" s="31"/>
      <c r="I861" s="11"/>
      <c r="J861" s="9"/>
      <c r="K861" s="9"/>
      <c r="L861" s="11"/>
      <c r="M861" s="31"/>
      <c r="N861" s="31"/>
      <c r="O861" s="31"/>
    </row>
    <row r="862" ht="15.75" customHeight="1">
      <c r="A862" s="31"/>
      <c r="C862" s="82"/>
      <c r="H862" s="31"/>
      <c r="I862" s="11"/>
      <c r="J862" s="9"/>
      <c r="K862" s="9"/>
      <c r="L862" s="11"/>
      <c r="M862" s="31"/>
      <c r="N862" s="31"/>
      <c r="O862" s="31"/>
    </row>
    <row r="863" ht="15.75" customHeight="1">
      <c r="A863" s="31"/>
      <c r="C863" s="82"/>
      <c r="H863" s="31"/>
      <c r="I863" s="11"/>
      <c r="J863" s="9"/>
      <c r="K863" s="9"/>
      <c r="L863" s="11"/>
      <c r="M863" s="31"/>
      <c r="N863" s="31"/>
      <c r="O863" s="31"/>
    </row>
    <row r="864" ht="15.75" customHeight="1">
      <c r="A864" s="31"/>
      <c r="C864" s="82"/>
      <c r="H864" s="31"/>
      <c r="I864" s="11"/>
      <c r="J864" s="9"/>
      <c r="K864" s="9"/>
      <c r="L864" s="11"/>
      <c r="M864" s="31"/>
      <c r="N864" s="31"/>
      <c r="O864" s="31"/>
    </row>
    <row r="865" ht="15.75" customHeight="1">
      <c r="A865" s="31"/>
      <c r="C865" s="82"/>
      <c r="H865" s="31"/>
      <c r="I865" s="11"/>
      <c r="J865" s="9"/>
      <c r="K865" s="9"/>
      <c r="L865" s="11"/>
      <c r="M865" s="31"/>
      <c r="N865" s="31"/>
      <c r="O865" s="31"/>
    </row>
    <row r="866" ht="15.75" customHeight="1">
      <c r="A866" s="31"/>
      <c r="C866" s="82"/>
      <c r="H866" s="31"/>
      <c r="I866" s="11"/>
      <c r="J866" s="9"/>
      <c r="K866" s="9"/>
      <c r="L866" s="11"/>
      <c r="M866" s="31"/>
      <c r="N866" s="31"/>
      <c r="O866" s="31"/>
    </row>
    <row r="867" ht="15.75" customHeight="1">
      <c r="A867" s="31"/>
      <c r="C867" s="82"/>
      <c r="H867" s="31"/>
      <c r="I867" s="11"/>
      <c r="J867" s="9"/>
      <c r="K867" s="9"/>
      <c r="L867" s="11"/>
      <c r="M867" s="31"/>
      <c r="N867" s="31"/>
      <c r="O867" s="31"/>
    </row>
    <row r="868" ht="15.75" customHeight="1">
      <c r="A868" s="31"/>
      <c r="C868" s="82"/>
      <c r="H868" s="31"/>
      <c r="I868" s="11"/>
      <c r="J868" s="9"/>
      <c r="K868" s="9"/>
      <c r="L868" s="11"/>
      <c r="M868" s="31"/>
      <c r="N868" s="31"/>
      <c r="O868" s="31"/>
    </row>
    <row r="869" ht="15.75" customHeight="1">
      <c r="A869" s="31"/>
      <c r="C869" s="82"/>
      <c r="H869" s="31"/>
      <c r="I869" s="11"/>
      <c r="J869" s="9"/>
      <c r="K869" s="9"/>
      <c r="L869" s="11"/>
      <c r="M869" s="31"/>
      <c r="N869" s="31"/>
      <c r="O869" s="31"/>
    </row>
    <row r="870" ht="15.75" customHeight="1">
      <c r="A870" s="31"/>
      <c r="C870" s="82"/>
      <c r="H870" s="31"/>
      <c r="I870" s="11"/>
      <c r="J870" s="9"/>
      <c r="K870" s="9"/>
      <c r="L870" s="11"/>
      <c r="M870" s="31"/>
      <c r="N870" s="31"/>
      <c r="O870" s="31"/>
    </row>
    <row r="871" ht="15.75" customHeight="1">
      <c r="A871" s="31"/>
      <c r="C871" s="82"/>
      <c r="H871" s="31"/>
      <c r="I871" s="11"/>
      <c r="J871" s="9"/>
      <c r="K871" s="9"/>
      <c r="L871" s="11"/>
      <c r="M871" s="31"/>
      <c r="N871" s="31"/>
      <c r="O871" s="31"/>
    </row>
    <row r="872" ht="15.75" customHeight="1">
      <c r="A872" s="31"/>
      <c r="C872" s="82"/>
      <c r="H872" s="31"/>
      <c r="I872" s="11"/>
      <c r="J872" s="9"/>
      <c r="K872" s="9"/>
      <c r="L872" s="11"/>
      <c r="M872" s="31"/>
      <c r="N872" s="31"/>
      <c r="O872" s="31"/>
    </row>
    <row r="873" ht="15.75" customHeight="1">
      <c r="A873" s="31"/>
      <c r="C873" s="82"/>
      <c r="H873" s="31"/>
      <c r="I873" s="11"/>
      <c r="J873" s="9"/>
      <c r="K873" s="9"/>
      <c r="L873" s="11"/>
      <c r="M873" s="31"/>
      <c r="N873" s="31"/>
      <c r="O873" s="31"/>
    </row>
    <row r="874" ht="15.75" customHeight="1">
      <c r="A874" s="31"/>
      <c r="C874" s="82"/>
      <c r="H874" s="31"/>
      <c r="I874" s="11"/>
      <c r="J874" s="9"/>
      <c r="K874" s="9"/>
      <c r="L874" s="11"/>
      <c r="M874" s="31"/>
      <c r="N874" s="31"/>
      <c r="O874" s="31"/>
    </row>
    <row r="875" ht="15.75" customHeight="1">
      <c r="A875" s="31"/>
      <c r="C875" s="82"/>
      <c r="H875" s="31"/>
      <c r="I875" s="11"/>
      <c r="J875" s="9"/>
      <c r="K875" s="9"/>
      <c r="L875" s="11"/>
      <c r="M875" s="31"/>
      <c r="N875" s="31"/>
      <c r="O875" s="31"/>
    </row>
    <row r="876" ht="15.75" customHeight="1">
      <c r="A876" s="31"/>
      <c r="C876" s="82"/>
      <c r="H876" s="31"/>
      <c r="I876" s="11"/>
      <c r="J876" s="9"/>
      <c r="K876" s="9"/>
      <c r="L876" s="11"/>
      <c r="M876" s="31"/>
      <c r="N876" s="31"/>
      <c r="O876" s="31"/>
    </row>
    <row r="877" ht="15.75" customHeight="1">
      <c r="A877" s="31"/>
      <c r="C877" s="82"/>
      <c r="H877" s="31"/>
      <c r="I877" s="11"/>
      <c r="J877" s="9"/>
      <c r="K877" s="9"/>
      <c r="L877" s="11"/>
      <c r="M877" s="31"/>
      <c r="N877" s="31"/>
      <c r="O877" s="31"/>
    </row>
    <row r="878" ht="15.75" customHeight="1">
      <c r="A878" s="31"/>
      <c r="C878" s="82"/>
      <c r="H878" s="31"/>
      <c r="I878" s="11"/>
      <c r="J878" s="9"/>
      <c r="K878" s="9"/>
      <c r="L878" s="11"/>
      <c r="M878" s="31"/>
      <c r="N878" s="31"/>
      <c r="O878" s="31"/>
    </row>
    <row r="879" ht="15.75" customHeight="1">
      <c r="A879" s="31"/>
      <c r="C879" s="82"/>
      <c r="H879" s="31"/>
      <c r="I879" s="11"/>
      <c r="J879" s="9"/>
      <c r="K879" s="9"/>
      <c r="L879" s="11"/>
      <c r="M879" s="31"/>
      <c r="N879" s="31"/>
      <c r="O879" s="31"/>
    </row>
    <row r="880" ht="15.75" customHeight="1">
      <c r="A880" s="31"/>
      <c r="C880" s="82"/>
      <c r="H880" s="31"/>
      <c r="I880" s="11"/>
      <c r="J880" s="9"/>
      <c r="K880" s="9"/>
      <c r="L880" s="11"/>
      <c r="M880" s="31"/>
      <c r="N880" s="31"/>
      <c r="O880" s="31"/>
    </row>
    <row r="881" ht="15.75" customHeight="1">
      <c r="A881" s="31"/>
      <c r="C881" s="82"/>
      <c r="H881" s="31"/>
      <c r="I881" s="11"/>
      <c r="J881" s="9"/>
      <c r="K881" s="9"/>
      <c r="L881" s="11"/>
      <c r="M881" s="31"/>
      <c r="N881" s="31"/>
      <c r="O881" s="31"/>
    </row>
    <row r="882" ht="15.75" customHeight="1">
      <c r="A882" s="31"/>
      <c r="C882" s="82"/>
      <c r="H882" s="31"/>
      <c r="I882" s="11"/>
      <c r="J882" s="9"/>
      <c r="K882" s="9"/>
      <c r="L882" s="11"/>
      <c r="M882" s="31"/>
      <c r="N882" s="31"/>
      <c r="O882" s="31"/>
    </row>
    <row r="883" ht="15.75" customHeight="1">
      <c r="A883" s="31"/>
      <c r="C883" s="82"/>
      <c r="H883" s="31"/>
      <c r="I883" s="11"/>
      <c r="J883" s="9"/>
      <c r="K883" s="9"/>
      <c r="L883" s="11"/>
      <c r="M883" s="31"/>
      <c r="N883" s="31"/>
      <c r="O883" s="31"/>
    </row>
    <row r="884" ht="15.75" customHeight="1">
      <c r="A884" s="31"/>
      <c r="C884" s="82"/>
      <c r="H884" s="31"/>
      <c r="I884" s="11"/>
      <c r="J884" s="9"/>
      <c r="K884" s="9"/>
      <c r="L884" s="11"/>
      <c r="M884" s="31"/>
      <c r="N884" s="31"/>
      <c r="O884" s="31"/>
    </row>
    <row r="885" ht="15.75" customHeight="1">
      <c r="A885" s="31"/>
      <c r="C885" s="82"/>
      <c r="H885" s="31"/>
      <c r="I885" s="11"/>
      <c r="J885" s="9"/>
      <c r="K885" s="9"/>
      <c r="L885" s="11"/>
      <c r="M885" s="31"/>
      <c r="N885" s="31"/>
      <c r="O885" s="31"/>
    </row>
    <row r="886" ht="15.75" customHeight="1">
      <c r="A886" s="31"/>
      <c r="C886" s="82"/>
      <c r="H886" s="31"/>
      <c r="I886" s="11"/>
      <c r="J886" s="9"/>
      <c r="K886" s="9"/>
      <c r="L886" s="11"/>
      <c r="M886" s="31"/>
      <c r="N886" s="31"/>
      <c r="O886" s="31"/>
    </row>
    <row r="887" ht="15.75" customHeight="1">
      <c r="A887" s="31"/>
      <c r="C887" s="82"/>
      <c r="H887" s="31"/>
      <c r="I887" s="11"/>
      <c r="J887" s="9"/>
      <c r="K887" s="9"/>
      <c r="L887" s="11"/>
      <c r="M887" s="31"/>
      <c r="N887" s="31"/>
      <c r="O887" s="31"/>
    </row>
    <row r="888" ht="15.75" customHeight="1">
      <c r="A888" s="31"/>
      <c r="C888" s="82"/>
      <c r="H888" s="31"/>
      <c r="I888" s="11"/>
      <c r="J888" s="9"/>
      <c r="K888" s="9"/>
      <c r="L888" s="11"/>
      <c r="M888" s="31"/>
      <c r="N888" s="31"/>
      <c r="O888" s="31"/>
    </row>
    <row r="889" ht="15.75" customHeight="1">
      <c r="A889" s="31"/>
      <c r="C889" s="82"/>
      <c r="H889" s="31"/>
      <c r="I889" s="11"/>
      <c r="J889" s="9"/>
      <c r="K889" s="9"/>
      <c r="L889" s="11"/>
      <c r="M889" s="31"/>
      <c r="N889" s="31"/>
      <c r="O889" s="31"/>
    </row>
    <row r="890" ht="15.75" customHeight="1">
      <c r="A890" s="31"/>
      <c r="C890" s="82"/>
      <c r="H890" s="31"/>
      <c r="I890" s="11"/>
      <c r="J890" s="9"/>
      <c r="K890" s="9"/>
      <c r="L890" s="11"/>
      <c r="M890" s="31"/>
      <c r="N890" s="31"/>
      <c r="O890" s="31"/>
    </row>
    <row r="891" ht="15.75" customHeight="1">
      <c r="A891" s="31"/>
      <c r="C891" s="82"/>
      <c r="H891" s="31"/>
      <c r="I891" s="11"/>
      <c r="J891" s="9"/>
      <c r="K891" s="9"/>
      <c r="L891" s="11"/>
      <c r="M891" s="31"/>
      <c r="N891" s="31"/>
      <c r="O891" s="31"/>
    </row>
    <row r="892" ht="15.75" customHeight="1">
      <c r="A892" s="31"/>
      <c r="C892" s="82"/>
      <c r="H892" s="31"/>
      <c r="I892" s="11"/>
      <c r="J892" s="9"/>
      <c r="K892" s="9"/>
      <c r="L892" s="11"/>
      <c r="M892" s="31"/>
      <c r="N892" s="31"/>
      <c r="O892" s="31"/>
    </row>
    <row r="893" ht="15.75" customHeight="1">
      <c r="A893" s="31"/>
      <c r="C893" s="82"/>
      <c r="H893" s="31"/>
      <c r="I893" s="11"/>
      <c r="J893" s="9"/>
      <c r="K893" s="9"/>
      <c r="L893" s="11"/>
      <c r="M893" s="31"/>
      <c r="N893" s="31"/>
      <c r="O893" s="31"/>
    </row>
    <row r="894" ht="15.75" customHeight="1">
      <c r="A894" s="31"/>
      <c r="C894" s="82"/>
      <c r="H894" s="31"/>
      <c r="I894" s="11"/>
      <c r="J894" s="9"/>
      <c r="K894" s="9"/>
      <c r="L894" s="11"/>
      <c r="M894" s="31"/>
      <c r="N894" s="31"/>
      <c r="O894" s="31"/>
    </row>
    <row r="895" ht="15.75" customHeight="1">
      <c r="A895" s="31"/>
      <c r="C895" s="82"/>
      <c r="H895" s="31"/>
      <c r="I895" s="11"/>
      <c r="J895" s="9"/>
      <c r="K895" s="9"/>
      <c r="L895" s="11"/>
      <c r="M895" s="31"/>
      <c r="N895" s="31"/>
      <c r="O895" s="31"/>
    </row>
    <row r="896" ht="15.75" customHeight="1">
      <c r="A896" s="31"/>
      <c r="C896" s="82"/>
      <c r="H896" s="31"/>
      <c r="I896" s="11"/>
      <c r="J896" s="9"/>
      <c r="K896" s="9"/>
      <c r="L896" s="11"/>
      <c r="M896" s="31"/>
      <c r="N896" s="31"/>
      <c r="O896" s="31"/>
    </row>
    <row r="897" ht="15.75" customHeight="1">
      <c r="A897" s="31"/>
      <c r="C897" s="82"/>
      <c r="H897" s="31"/>
      <c r="I897" s="11"/>
      <c r="J897" s="9"/>
      <c r="K897" s="9"/>
      <c r="L897" s="11"/>
      <c r="M897" s="31"/>
      <c r="N897" s="31"/>
      <c r="O897" s="31"/>
    </row>
    <row r="898" ht="15.75" customHeight="1">
      <c r="A898" s="31"/>
      <c r="C898" s="82"/>
      <c r="H898" s="31"/>
      <c r="I898" s="11"/>
      <c r="J898" s="9"/>
      <c r="K898" s="9"/>
      <c r="L898" s="11"/>
      <c r="M898" s="31"/>
      <c r="N898" s="31"/>
      <c r="O898" s="31"/>
    </row>
    <row r="899" ht="15.75" customHeight="1">
      <c r="A899" s="31"/>
      <c r="C899" s="82"/>
      <c r="H899" s="31"/>
      <c r="I899" s="11"/>
      <c r="J899" s="9"/>
      <c r="K899" s="9"/>
      <c r="L899" s="11"/>
      <c r="M899" s="31"/>
      <c r="N899" s="31"/>
      <c r="O899" s="31"/>
    </row>
    <row r="900" ht="15.75" customHeight="1">
      <c r="A900" s="31"/>
      <c r="C900" s="82"/>
      <c r="H900" s="31"/>
      <c r="I900" s="11"/>
      <c r="J900" s="9"/>
      <c r="K900" s="9"/>
      <c r="L900" s="11"/>
      <c r="M900" s="31"/>
      <c r="N900" s="31"/>
      <c r="O900" s="31"/>
    </row>
    <row r="901" ht="15.75" customHeight="1">
      <c r="A901" s="31"/>
      <c r="C901" s="82"/>
      <c r="H901" s="31"/>
      <c r="I901" s="11"/>
      <c r="J901" s="9"/>
      <c r="K901" s="9"/>
      <c r="L901" s="11"/>
      <c r="M901" s="31"/>
      <c r="N901" s="31"/>
      <c r="O901" s="31"/>
    </row>
    <row r="902" ht="15.75" customHeight="1">
      <c r="A902" s="31"/>
      <c r="C902" s="82"/>
      <c r="H902" s="31"/>
      <c r="I902" s="11"/>
      <c r="J902" s="9"/>
      <c r="K902" s="9"/>
      <c r="L902" s="11"/>
      <c r="M902" s="31"/>
      <c r="N902" s="31"/>
      <c r="O902" s="31"/>
    </row>
    <row r="903" ht="15.75" customHeight="1">
      <c r="A903" s="31"/>
      <c r="C903" s="82"/>
      <c r="H903" s="31"/>
      <c r="I903" s="11"/>
      <c r="J903" s="9"/>
      <c r="K903" s="9"/>
      <c r="L903" s="11"/>
      <c r="M903" s="31"/>
      <c r="N903" s="31"/>
      <c r="O903" s="31"/>
    </row>
    <row r="904" ht="15.75" customHeight="1">
      <c r="A904" s="31"/>
      <c r="C904" s="82"/>
      <c r="H904" s="31"/>
      <c r="I904" s="11"/>
      <c r="J904" s="9"/>
      <c r="K904" s="9"/>
      <c r="L904" s="11"/>
      <c r="M904" s="31"/>
      <c r="N904" s="31"/>
      <c r="O904" s="31"/>
    </row>
    <row r="905" ht="15.75" customHeight="1">
      <c r="A905" s="31"/>
      <c r="C905" s="82"/>
      <c r="H905" s="31"/>
      <c r="I905" s="11"/>
      <c r="J905" s="9"/>
      <c r="K905" s="9"/>
      <c r="L905" s="11"/>
      <c r="M905" s="31"/>
      <c r="N905" s="31"/>
      <c r="O905" s="31"/>
    </row>
    <row r="906" ht="15.75" customHeight="1">
      <c r="A906" s="31"/>
      <c r="C906" s="82"/>
      <c r="H906" s="31"/>
      <c r="I906" s="11"/>
      <c r="J906" s="9"/>
      <c r="K906" s="9"/>
      <c r="L906" s="11"/>
      <c r="M906" s="31"/>
      <c r="N906" s="31"/>
      <c r="O906" s="31"/>
    </row>
    <row r="907" ht="15.75" customHeight="1">
      <c r="A907" s="31"/>
      <c r="C907" s="82"/>
      <c r="H907" s="31"/>
      <c r="I907" s="11"/>
      <c r="J907" s="9"/>
      <c r="K907" s="9"/>
      <c r="L907" s="11"/>
      <c r="M907" s="31"/>
      <c r="N907" s="31"/>
      <c r="O907" s="31"/>
    </row>
    <row r="908" ht="15.75" customHeight="1">
      <c r="A908" s="31"/>
      <c r="C908" s="82"/>
      <c r="H908" s="31"/>
      <c r="I908" s="11"/>
      <c r="J908" s="9"/>
      <c r="K908" s="9"/>
      <c r="L908" s="11"/>
      <c r="M908" s="31"/>
      <c r="N908" s="31"/>
      <c r="O908" s="31"/>
    </row>
    <row r="909" ht="15.75" customHeight="1">
      <c r="A909" s="31"/>
      <c r="C909" s="82"/>
      <c r="H909" s="31"/>
      <c r="I909" s="11"/>
      <c r="J909" s="9"/>
      <c r="K909" s="9"/>
      <c r="L909" s="11"/>
      <c r="M909" s="31"/>
      <c r="N909" s="31"/>
      <c r="O909" s="31"/>
    </row>
    <row r="910" ht="15.75" customHeight="1">
      <c r="A910" s="31"/>
      <c r="C910" s="82"/>
      <c r="H910" s="31"/>
      <c r="I910" s="11"/>
      <c r="J910" s="9"/>
      <c r="K910" s="9"/>
      <c r="L910" s="11"/>
      <c r="M910" s="31"/>
      <c r="N910" s="31"/>
      <c r="O910" s="31"/>
    </row>
    <row r="911" ht="15.75" customHeight="1">
      <c r="A911" s="31"/>
      <c r="C911" s="82"/>
      <c r="H911" s="31"/>
      <c r="I911" s="11"/>
      <c r="J911" s="9"/>
      <c r="K911" s="9"/>
      <c r="L911" s="11"/>
      <c r="M911" s="31"/>
      <c r="N911" s="31"/>
      <c r="O911" s="31"/>
    </row>
    <row r="912" ht="15.75" customHeight="1">
      <c r="A912" s="31"/>
      <c r="C912" s="82"/>
      <c r="H912" s="31"/>
      <c r="I912" s="11"/>
      <c r="J912" s="9"/>
      <c r="K912" s="9"/>
      <c r="L912" s="11"/>
      <c r="M912" s="31"/>
      <c r="N912" s="31"/>
      <c r="O912" s="31"/>
    </row>
    <row r="913" ht="15.75" customHeight="1">
      <c r="A913" s="31"/>
      <c r="C913" s="82"/>
      <c r="H913" s="31"/>
      <c r="I913" s="11"/>
      <c r="J913" s="9"/>
      <c r="K913" s="9"/>
      <c r="L913" s="11"/>
      <c r="M913" s="31"/>
      <c r="N913" s="31"/>
      <c r="O913" s="31"/>
    </row>
    <row r="914" ht="15.75" customHeight="1">
      <c r="A914" s="31"/>
      <c r="C914" s="82"/>
      <c r="H914" s="31"/>
      <c r="I914" s="11"/>
      <c r="J914" s="9"/>
      <c r="K914" s="9"/>
      <c r="L914" s="11"/>
      <c r="M914" s="31"/>
      <c r="N914" s="31"/>
      <c r="O914" s="31"/>
    </row>
    <row r="915" ht="15.75" customHeight="1">
      <c r="A915" s="31"/>
      <c r="C915" s="82"/>
      <c r="H915" s="31"/>
      <c r="I915" s="11"/>
      <c r="J915" s="9"/>
      <c r="K915" s="9"/>
      <c r="L915" s="11"/>
      <c r="M915" s="31"/>
      <c r="N915" s="31"/>
      <c r="O915" s="31"/>
    </row>
    <row r="916" ht="15.75" customHeight="1">
      <c r="A916" s="31"/>
      <c r="C916" s="82"/>
      <c r="H916" s="31"/>
      <c r="I916" s="11"/>
      <c r="J916" s="9"/>
      <c r="K916" s="9"/>
      <c r="L916" s="11"/>
      <c r="M916" s="31"/>
      <c r="N916" s="31"/>
      <c r="O916" s="31"/>
    </row>
    <row r="917" ht="15.75" customHeight="1">
      <c r="A917" s="31"/>
      <c r="C917" s="82"/>
      <c r="H917" s="31"/>
      <c r="I917" s="11"/>
      <c r="J917" s="9"/>
      <c r="K917" s="9"/>
      <c r="L917" s="11"/>
      <c r="M917" s="31"/>
      <c r="N917" s="31"/>
      <c r="O917" s="31"/>
    </row>
    <row r="918" ht="15.75" customHeight="1">
      <c r="A918" s="31"/>
      <c r="C918" s="82"/>
      <c r="H918" s="31"/>
      <c r="I918" s="11"/>
      <c r="J918" s="9"/>
      <c r="K918" s="9"/>
      <c r="L918" s="11"/>
      <c r="M918" s="31"/>
      <c r="N918" s="31"/>
      <c r="O918" s="31"/>
    </row>
    <row r="919" ht="15.75" customHeight="1">
      <c r="A919" s="31"/>
      <c r="C919" s="82"/>
      <c r="H919" s="31"/>
      <c r="I919" s="11"/>
      <c r="J919" s="9"/>
      <c r="K919" s="9"/>
      <c r="L919" s="11"/>
      <c r="M919" s="31"/>
      <c r="N919" s="31"/>
      <c r="O919" s="31"/>
    </row>
    <row r="920" ht="15.75" customHeight="1">
      <c r="A920" s="31"/>
      <c r="C920" s="82"/>
      <c r="H920" s="31"/>
      <c r="I920" s="11"/>
      <c r="J920" s="9"/>
      <c r="K920" s="9"/>
      <c r="L920" s="11"/>
      <c r="M920" s="31"/>
      <c r="N920" s="31"/>
      <c r="O920" s="31"/>
    </row>
    <row r="921" ht="15.75" customHeight="1">
      <c r="A921" s="31"/>
      <c r="C921" s="82"/>
      <c r="H921" s="31"/>
      <c r="I921" s="11"/>
      <c r="J921" s="9"/>
      <c r="K921" s="9"/>
      <c r="L921" s="11"/>
      <c r="M921" s="31"/>
      <c r="N921" s="31"/>
      <c r="O921" s="31"/>
    </row>
    <row r="922" ht="15.75" customHeight="1">
      <c r="A922" s="31"/>
      <c r="C922" s="82"/>
      <c r="H922" s="31"/>
      <c r="I922" s="11"/>
      <c r="J922" s="9"/>
      <c r="K922" s="9"/>
      <c r="L922" s="11"/>
      <c r="M922" s="31"/>
      <c r="N922" s="31"/>
      <c r="O922" s="31"/>
    </row>
    <row r="923" ht="15.75" customHeight="1">
      <c r="A923" s="31"/>
      <c r="C923" s="82"/>
      <c r="H923" s="31"/>
      <c r="I923" s="11"/>
      <c r="J923" s="9"/>
      <c r="K923" s="9"/>
      <c r="L923" s="11"/>
      <c r="M923" s="31"/>
      <c r="N923" s="31"/>
      <c r="O923" s="31"/>
    </row>
    <row r="924" ht="15.75" customHeight="1">
      <c r="A924" s="31"/>
      <c r="C924" s="82"/>
      <c r="H924" s="31"/>
      <c r="I924" s="11"/>
      <c r="J924" s="9"/>
      <c r="K924" s="9"/>
      <c r="L924" s="11"/>
      <c r="M924" s="31"/>
      <c r="N924" s="31"/>
      <c r="O924" s="31"/>
    </row>
    <row r="925" ht="15.75" customHeight="1">
      <c r="A925" s="31"/>
      <c r="C925" s="82"/>
      <c r="H925" s="31"/>
      <c r="I925" s="11"/>
      <c r="J925" s="9"/>
      <c r="K925" s="9"/>
      <c r="L925" s="11"/>
      <c r="M925" s="31"/>
      <c r="N925" s="31"/>
      <c r="O925" s="31"/>
    </row>
    <row r="926" ht="15.75" customHeight="1">
      <c r="A926" s="31"/>
      <c r="C926" s="82"/>
      <c r="H926" s="31"/>
      <c r="I926" s="11"/>
      <c r="J926" s="9"/>
      <c r="K926" s="9"/>
      <c r="L926" s="11"/>
      <c r="M926" s="31"/>
      <c r="N926" s="31"/>
      <c r="O926" s="31"/>
    </row>
    <row r="927" ht="15.75" customHeight="1">
      <c r="A927" s="31"/>
      <c r="C927" s="82"/>
      <c r="H927" s="31"/>
      <c r="I927" s="11"/>
      <c r="J927" s="9"/>
      <c r="K927" s="9"/>
      <c r="L927" s="11"/>
      <c r="M927" s="31"/>
      <c r="N927" s="31"/>
      <c r="O927" s="31"/>
    </row>
    <row r="928" ht="15.75" customHeight="1">
      <c r="A928" s="31"/>
      <c r="C928" s="82"/>
      <c r="H928" s="31"/>
      <c r="I928" s="11"/>
      <c r="J928" s="9"/>
      <c r="K928" s="9"/>
      <c r="L928" s="11"/>
      <c r="M928" s="31"/>
      <c r="N928" s="31"/>
      <c r="O928" s="31"/>
    </row>
    <row r="929" ht="15.75" customHeight="1">
      <c r="A929" s="31"/>
      <c r="C929" s="82"/>
      <c r="H929" s="31"/>
      <c r="I929" s="11"/>
      <c r="J929" s="9"/>
      <c r="K929" s="9"/>
      <c r="L929" s="11"/>
      <c r="M929" s="31"/>
      <c r="N929" s="31"/>
      <c r="O929" s="31"/>
    </row>
    <row r="930" ht="15.75" customHeight="1">
      <c r="A930" s="31"/>
      <c r="C930" s="82"/>
      <c r="H930" s="31"/>
      <c r="I930" s="11"/>
      <c r="J930" s="9"/>
      <c r="K930" s="9"/>
      <c r="L930" s="11"/>
      <c r="M930" s="31"/>
      <c r="N930" s="31"/>
      <c r="O930" s="31"/>
    </row>
    <row r="931" ht="15.75" customHeight="1">
      <c r="A931" s="31"/>
      <c r="C931" s="82"/>
      <c r="H931" s="31"/>
      <c r="I931" s="11"/>
      <c r="J931" s="9"/>
      <c r="K931" s="9"/>
      <c r="L931" s="11"/>
      <c r="M931" s="31"/>
      <c r="N931" s="31"/>
      <c r="O931" s="31"/>
    </row>
    <row r="932" ht="15.75" customHeight="1">
      <c r="A932" s="31"/>
      <c r="C932" s="82"/>
      <c r="H932" s="31"/>
      <c r="I932" s="11"/>
      <c r="J932" s="9"/>
      <c r="K932" s="9"/>
      <c r="L932" s="11"/>
      <c r="M932" s="31"/>
      <c r="N932" s="31"/>
      <c r="O932" s="31"/>
    </row>
    <row r="933" ht="15.75" customHeight="1">
      <c r="A933" s="31"/>
      <c r="C933" s="82"/>
      <c r="H933" s="31"/>
      <c r="I933" s="11"/>
      <c r="J933" s="9"/>
      <c r="K933" s="9"/>
      <c r="L933" s="11"/>
      <c r="M933" s="31"/>
      <c r="N933" s="31"/>
      <c r="O933" s="31"/>
    </row>
    <row r="934" ht="15.75" customHeight="1">
      <c r="A934" s="31"/>
      <c r="C934" s="82"/>
      <c r="H934" s="31"/>
      <c r="I934" s="11"/>
      <c r="J934" s="9"/>
      <c r="K934" s="9"/>
      <c r="L934" s="11"/>
      <c r="M934" s="31"/>
      <c r="N934" s="31"/>
      <c r="O934" s="31"/>
    </row>
    <row r="935" ht="15.75" customHeight="1">
      <c r="A935" s="31"/>
      <c r="C935" s="82"/>
      <c r="H935" s="31"/>
      <c r="I935" s="11"/>
      <c r="J935" s="9"/>
      <c r="K935" s="9"/>
      <c r="L935" s="11"/>
      <c r="M935" s="31"/>
      <c r="N935" s="31"/>
      <c r="O935" s="31"/>
    </row>
    <row r="936" ht="15.75" customHeight="1">
      <c r="A936" s="31"/>
      <c r="C936" s="82"/>
      <c r="H936" s="31"/>
      <c r="I936" s="11"/>
      <c r="J936" s="9"/>
      <c r="K936" s="9"/>
      <c r="L936" s="11"/>
      <c r="M936" s="31"/>
      <c r="N936" s="31"/>
      <c r="O936" s="31"/>
    </row>
    <row r="937" ht="15.75" customHeight="1">
      <c r="A937" s="31"/>
      <c r="C937" s="82"/>
      <c r="H937" s="31"/>
      <c r="I937" s="11"/>
      <c r="J937" s="9"/>
      <c r="K937" s="9"/>
      <c r="L937" s="11"/>
      <c r="M937" s="31"/>
      <c r="N937" s="31"/>
      <c r="O937" s="31"/>
    </row>
    <row r="938" ht="15.75" customHeight="1">
      <c r="A938" s="31"/>
      <c r="C938" s="82"/>
      <c r="H938" s="31"/>
      <c r="I938" s="11"/>
      <c r="J938" s="9"/>
      <c r="K938" s="9"/>
      <c r="L938" s="11"/>
      <c r="M938" s="31"/>
      <c r="N938" s="31"/>
      <c r="O938" s="31"/>
    </row>
    <row r="939" ht="15.75" customHeight="1">
      <c r="A939" s="31"/>
      <c r="C939" s="82"/>
      <c r="H939" s="31"/>
      <c r="I939" s="11"/>
      <c r="J939" s="9"/>
      <c r="K939" s="9"/>
      <c r="L939" s="11"/>
      <c r="M939" s="31"/>
      <c r="N939" s="31"/>
      <c r="O939" s="31"/>
    </row>
    <row r="940" ht="15.75" customHeight="1">
      <c r="A940" s="31"/>
      <c r="C940" s="82"/>
      <c r="H940" s="31"/>
      <c r="I940" s="11"/>
      <c r="J940" s="9"/>
      <c r="K940" s="9"/>
      <c r="L940" s="11"/>
      <c r="M940" s="31"/>
      <c r="N940" s="31"/>
      <c r="O940" s="31"/>
    </row>
    <row r="941" ht="15.75" customHeight="1">
      <c r="A941" s="31"/>
      <c r="C941" s="82"/>
      <c r="H941" s="31"/>
      <c r="I941" s="11"/>
      <c r="J941" s="9"/>
      <c r="K941" s="9"/>
      <c r="L941" s="11"/>
      <c r="M941" s="31"/>
      <c r="N941" s="31"/>
      <c r="O941" s="31"/>
    </row>
    <row r="942" ht="15.75" customHeight="1">
      <c r="A942" s="31"/>
      <c r="C942" s="82"/>
      <c r="H942" s="31"/>
      <c r="I942" s="11"/>
      <c r="J942" s="9"/>
      <c r="K942" s="9"/>
      <c r="L942" s="11"/>
      <c r="M942" s="31"/>
      <c r="N942" s="31"/>
      <c r="O942" s="31"/>
    </row>
    <row r="943" ht="15.75" customHeight="1">
      <c r="A943" s="31"/>
      <c r="C943" s="82"/>
      <c r="H943" s="31"/>
      <c r="I943" s="11"/>
      <c r="J943" s="9"/>
      <c r="K943" s="9"/>
      <c r="L943" s="11"/>
      <c r="M943" s="31"/>
      <c r="N943" s="31"/>
      <c r="O943" s="31"/>
    </row>
    <row r="944" ht="15.75" customHeight="1">
      <c r="A944" s="31"/>
      <c r="C944" s="82"/>
      <c r="H944" s="31"/>
      <c r="I944" s="11"/>
      <c r="J944" s="9"/>
      <c r="K944" s="9"/>
      <c r="L944" s="11"/>
      <c r="M944" s="31"/>
      <c r="N944" s="31"/>
      <c r="O944" s="31"/>
    </row>
    <row r="945" ht="15.75" customHeight="1">
      <c r="A945" s="31"/>
      <c r="C945" s="82"/>
      <c r="H945" s="31"/>
      <c r="I945" s="11"/>
      <c r="J945" s="9"/>
      <c r="K945" s="9"/>
      <c r="L945" s="11"/>
      <c r="M945" s="31"/>
      <c r="N945" s="31"/>
      <c r="O945" s="31"/>
    </row>
    <row r="946" ht="15.75" customHeight="1">
      <c r="A946" s="31"/>
      <c r="C946" s="82"/>
      <c r="H946" s="31"/>
      <c r="I946" s="11"/>
      <c r="J946" s="9"/>
      <c r="K946" s="9"/>
      <c r="L946" s="11"/>
      <c r="M946" s="31"/>
      <c r="N946" s="31"/>
      <c r="O946" s="31"/>
    </row>
    <row r="947" ht="15.75" customHeight="1">
      <c r="A947" s="31"/>
      <c r="C947" s="82"/>
      <c r="H947" s="31"/>
      <c r="I947" s="11"/>
      <c r="J947" s="9"/>
      <c r="K947" s="9"/>
      <c r="L947" s="11"/>
      <c r="M947" s="31"/>
      <c r="N947" s="31"/>
      <c r="O947" s="31"/>
    </row>
    <row r="948" ht="15.75" customHeight="1">
      <c r="A948" s="31"/>
      <c r="C948" s="82"/>
      <c r="H948" s="31"/>
      <c r="I948" s="11"/>
      <c r="J948" s="9"/>
      <c r="K948" s="9"/>
      <c r="L948" s="11"/>
      <c r="M948" s="31"/>
      <c r="N948" s="31"/>
      <c r="O948" s="31"/>
    </row>
    <row r="949" ht="15.75" customHeight="1">
      <c r="A949" s="31"/>
      <c r="C949" s="82"/>
      <c r="H949" s="31"/>
      <c r="I949" s="11"/>
      <c r="J949" s="9"/>
      <c r="K949" s="9"/>
      <c r="L949" s="11"/>
      <c r="M949" s="31"/>
      <c r="N949" s="31"/>
      <c r="O949" s="31"/>
    </row>
    <row r="950" ht="15.75" customHeight="1">
      <c r="A950" s="31"/>
      <c r="C950" s="82"/>
      <c r="H950" s="31"/>
      <c r="I950" s="11"/>
      <c r="J950" s="9"/>
      <c r="K950" s="9"/>
      <c r="L950" s="11"/>
      <c r="M950" s="31"/>
      <c r="N950" s="31"/>
      <c r="O950" s="31"/>
    </row>
    <row r="951" ht="15.75" customHeight="1">
      <c r="A951" s="31"/>
      <c r="C951" s="82"/>
      <c r="H951" s="31"/>
      <c r="I951" s="11"/>
      <c r="J951" s="9"/>
      <c r="K951" s="9"/>
      <c r="L951" s="11"/>
      <c r="M951" s="31"/>
      <c r="N951" s="31"/>
      <c r="O951" s="31"/>
    </row>
    <row r="952" ht="15.75" customHeight="1">
      <c r="A952" s="31"/>
      <c r="C952" s="82"/>
      <c r="H952" s="31"/>
      <c r="I952" s="11"/>
      <c r="J952" s="9"/>
      <c r="K952" s="9"/>
      <c r="L952" s="11"/>
      <c r="M952" s="31"/>
      <c r="N952" s="31"/>
      <c r="O952" s="31"/>
    </row>
    <row r="953" ht="15.75" customHeight="1">
      <c r="A953" s="31"/>
      <c r="C953" s="82"/>
      <c r="H953" s="31"/>
      <c r="I953" s="11"/>
      <c r="J953" s="9"/>
      <c r="K953" s="9"/>
      <c r="L953" s="11"/>
      <c r="M953" s="31"/>
      <c r="N953" s="31"/>
      <c r="O953" s="31"/>
    </row>
    <row r="954" ht="15.75" customHeight="1">
      <c r="A954" s="31"/>
      <c r="C954" s="82"/>
      <c r="H954" s="31"/>
      <c r="I954" s="11"/>
      <c r="J954" s="9"/>
      <c r="K954" s="9"/>
      <c r="L954" s="11"/>
      <c r="M954" s="31"/>
      <c r="N954" s="31"/>
      <c r="O954" s="31"/>
    </row>
    <row r="955" ht="15.75" customHeight="1">
      <c r="A955" s="31"/>
      <c r="C955" s="82"/>
      <c r="H955" s="31"/>
      <c r="I955" s="11"/>
      <c r="J955" s="9"/>
      <c r="K955" s="9"/>
      <c r="L955" s="11"/>
      <c r="M955" s="31"/>
      <c r="N955" s="31"/>
      <c r="O955" s="31"/>
    </row>
    <row r="956" ht="15.75" customHeight="1">
      <c r="A956" s="31"/>
      <c r="C956" s="82"/>
      <c r="H956" s="31"/>
      <c r="I956" s="11"/>
      <c r="J956" s="9"/>
      <c r="K956" s="9"/>
      <c r="L956" s="11"/>
      <c r="M956" s="31"/>
      <c r="N956" s="31"/>
      <c r="O956" s="31"/>
    </row>
    <row r="957" ht="15.75" customHeight="1">
      <c r="A957" s="31"/>
      <c r="C957" s="82"/>
      <c r="H957" s="31"/>
      <c r="I957" s="11"/>
      <c r="J957" s="9"/>
      <c r="K957" s="9"/>
      <c r="L957" s="11"/>
      <c r="M957" s="31"/>
      <c r="N957" s="31"/>
      <c r="O957" s="31"/>
    </row>
    <row r="958" ht="15.75" customHeight="1">
      <c r="A958" s="31"/>
      <c r="C958" s="82"/>
      <c r="H958" s="31"/>
      <c r="I958" s="11"/>
      <c r="J958" s="9"/>
      <c r="K958" s="9"/>
      <c r="L958" s="11"/>
      <c r="M958" s="31"/>
      <c r="N958" s="31"/>
      <c r="O958" s="31"/>
    </row>
    <row r="959" ht="15.75" customHeight="1">
      <c r="A959" s="31"/>
      <c r="C959" s="82"/>
      <c r="H959" s="31"/>
      <c r="I959" s="11"/>
      <c r="J959" s="9"/>
      <c r="K959" s="9"/>
      <c r="L959" s="11"/>
      <c r="M959" s="31"/>
      <c r="N959" s="31"/>
      <c r="O959" s="31"/>
    </row>
    <row r="960" ht="15.75" customHeight="1">
      <c r="A960" s="31"/>
      <c r="C960" s="82"/>
      <c r="H960" s="31"/>
      <c r="I960" s="11"/>
      <c r="J960" s="9"/>
      <c r="K960" s="9"/>
      <c r="L960" s="11"/>
      <c r="M960" s="31"/>
      <c r="N960" s="31"/>
      <c r="O960" s="31"/>
    </row>
    <row r="961" ht="15.75" customHeight="1">
      <c r="A961" s="31"/>
      <c r="C961" s="82"/>
      <c r="H961" s="31"/>
      <c r="I961" s="11"/>
      <c r="J961" s="9"/>
      <c r="K961" s="9"/>
      <c r="L961" s="11"/>
      <c r="M961" s="31"/>
      <c r="N961" s="31"/>
      <c r="O961" s="31"/>
    </row>
    <row r="962" ht="15.75" customHeight="1">
      <c r="A962" s="31"/>
      <c r="C962" s="82"/>
      <c r="H962" s="31"/>
      <c r="I962" s="11"/>
      <c r="J962" s="9"/>
      <c r="K962" s="9"/>
      <c r="L962" s="11"/>
      <c r="M962" s="31"/>
      <c r="N962" s="31"/>
      <c r="O962" s="31"/>
    </row>
    <row r="963" ht="15.75" customHeight="1">
      <c r="A963" s="31"/>
      <c r="C963" s="82"/>
      <c r="H963" s="31"/>
      <c r="I963" s="11"/>
      <c r="J963" s="9"/>
      <c r="K963" s="9"/>
      <c r="L963" s="11"/>
      <c r="M963" s="31"/>
      <c r="N963" s="31"/>
      <c r="O963" s="31"/>
    </row>
    <row r="964" ht="15.75" customHeight="1">
      <c r="A964" s="31"/>
      <c r="C964" s="82"/>
      <c r="H964" s="31"/>
      <c r="I964" s="11"/>
      <c r="J964" s="9"/>
      <c r="K964" s="9"/>
      <c r="L964" s="11"/>
      <c r="M964" s="31"/>
      <c r="N964" s="31"/>
      <c r="O964" s="31"/>
    </row>
    <row r="965" ht="15.75" customHeight="1">
      <c r="A965" s="31"/>
      <c r="C965" s="82"/>
      <c r="H965" s="31"/>
      <c r="I965" s="11"/>
      <c r="J965" s="9"/>
      <c r="K965" s="9"/>
      <c r="L965" s="11"/>
      <c r="M965" s="31"/>
      <c r="N965" s="31"/>
      <c r="O965" s="31"/>
    </row>
    <row r="966" ht="15.75" customHeight="1">
      <c r="A966" s="31"/>
      <c r="C966" s="82"/>
      <c r="H966" s="31"/>
      <c r="I966" s="11"/>
      <c r="J966" s="9"/>
      <c r="K966" s="9"/>
      <c r="L966" s="11"/>
      <c r="M966" s="31"/>
      <c r="N966" s="31"/>
      <c r="O966" s="31"/>
    </row>
    <row r="967" ht="15.75" customHeight="1">
      <c r="A967" s="31"/>
      <c r="C967" s="82"/>
      <c r="H967" s="31"/>
      <c r="I967" s="11"/>
      <c r="J967" s="9"/>
      <c r="K967" s="9"/>
      <c r="L967" s="11"/>
      <c r="M967" s="31"/>
      <c r="N967" s="31"/>
      <c r="O967" s="31"/>
    </row>
    <row r="968" ht="15.75" customHeight="1">
      <c r="A968" s="31"/>
      <c r="C968" s="82"/>
      <c r="H968" s="31"/>
      <c r="I968" s="11"/>
      <c r="J968" s="9"/>
      <c r="K968" s="9"/>
      <c r="L968" s="11"/>
      <c r="M968" s="31"/>
      <c r="N968" s="31"/>
      <c r="O968" s="31"/>
    </row>
    <row r="969" ht="15.75" customHeight="1">
      <c r="A969" s="31"/>
      <c r="C969" s="82"/>
      <c r="H969" s="31"/>
      <c r="I969" s="11"/>
      <c r="J969" s="9"/>
      <c r="K969" s="9"/>
      <c r="L969" s="11"/>
      <c r="M969" s="31"/>
      <c r="N969" s="31"/>
      <c r="O969" s="31"/>
    </row>
    <row r="970" ht="15.75" customHeight="1">
      <c r="A970" s="31"/>
      <c r="C970" s="82"/>
      <c r="H970" s="31"/>
      <c r="I970" s="11"/>
      <c r="J970" s="9"/>
      <c r="K970" s="9"/>
      <c r="L970" s="11"/>
      <c r="M970" s="31"/>
      <c r="N970" s="31"/>
      <c r="O970" s="31"/>
    </row>
    <row r="971" ht="15.75" customHeight="1">
      <c r="A971" s="31"/>
      <c r="C971" s="82"/>
      <c r="H971" s="31"/>
      <c r="I971" s="11"/>
      <c r="J971" s="9"/>
      <c r="K971" s="9"/>
      <c r="L971" s="11"/>
      <c r="M971" s="31"/>
      <c r="N971" s="31"/>
      <c r="O971" s="31"/>
    </row>
    <row r="972" ht="15.75" customHeight="1">
      <c r="A972" s="31"/>
      <c r="C972" s="82"/>
      <c r="H972" s="31"/>
      <c r="I972" s="11"/>
      <c r="J972" s="9"/>
      <c r="K972" s="9"/>
      <c r="L972" s="11"/>
      <c r="M972" s="31"/>
      <c r="N972" s="31"/>
      <c r="O972" s="31"/>
    </row>
    <row r="973" ht="15.75" customHeight="1">
      <c r="A973" s="31"/>
      <c r="C973" s="82"/>
      <c r="H973" s="31"/>
      <c r="I973" s="11"/>
      <c r="J973" s="9"/>
      <c r="K973" s="9"/>
      <c r="L973" s="11"/>
      <c r="M973" s="31"/>
      <c r="N973" s="31"/>
      <c r="O973" s="31"/>
    </row>
    <row r="974" ht="15.75" customHeight="1">
      <c r="A974" s="31"/>
      <c r="C974" s="82"/>
      <c r="H974" s="31"/>
      <c r="I974" s="11"/>
      <c r="J974" s="9"/>
      <c r="K974" s="9"/>
      <c r="L974" s="11"/>
      <c r="M974" s="31"/>
      <c r="N974" s="31"/>
      <c r="O974" s="31"/>
    </row>
    <row r="975" ht="15.75" customHeight="1">
      <c r="A975" s="31"/>
      <c r="C975" s="82"/>
      <c r="H975" s="31"/>
      <c r="I975" s="11"/>
      <c r="J975" s="9"/>
      <c r="K975" s="9"/>
      <c r="L975" s="11"/>
      <c r="M975" s="31"/>
      <c r="N975" s="31"/>
      <c r="O975" s="31"/>
    </row>
    <row r="976" ht="15.75" customHeight="1">
      <c r="A976" s="31"/>
      <c r="C976" s="82"/>
      <c r="H976" s="31"/>
      <c r="I976" s="11"/>
      <c r="J976" s="9"/>
      <c r="K976" s="9"/>
      <c r="L976" s="11"/>
      <c r="M976" s="31"/>
      <c r="N976" s="31"/>
      <c r="O976" s="31"/>
    </row>
    <row r="977" ht="15.75" customHeight="1">
      <c r="A977" s="31"/>
      <c r="C977" s="82"/>
      <c r="H977" s="31"/>
      <c r="I977" s="11"/>
      <c r="J977" s="9"/>
      <c r="K977" s="9"/>
      <c r="L977" s="11"/>
      <c r="M977" s="31"/>
      <c r="N977" s="31"/>
      <c r="O977" s="31"/>
    </row>
    <row r="978" ht="15.75" customHeight="1">
      <c r="A978" s="31"/>
      <c r="C978" s="82"/>
      <c r="H978" s="31"/>
      <c r="I978" s="11"/>
      <c r="J978" s="9"/>
      <c r="K978" s="9"/>
      <c r="L978" s="11"/>
      <c r="M978" s="31"/>
      <c r="N978" s="31"/>
      <c r="O978" s="31"/>
    </row>
    <row r="979" ht="15.75" customHeight="1">
      <c r="A979" s="31"/>
      <c r="C979" s="82"/>
      <c r="H979" s="31"/>
      <c r="I979" s="11"/>
      <c r="J979" s="9"/>
      <c r="K979" s="9"/>
      <c r="L979" s="11"/>
      <c r="M979" s="31"/>
      <c r="N979" s="31"/>
      <c r="O979" s="31"/>
    </row>
    <row r="980" ht="15.75" customHeight="1">
      <c r="A980" s="31"/>
      <c r="C980" s="82"/>
      <c r="H980" s="31"/>
      <c r="I980" s="11"/>
      <c r="J980" s="9"/>
      <c r="K980" s="9"/>
      <c r="L980" s="11"/>
      <c r="M980" s="31"/>
      <c r="N980" s="31"/>
      <c r="O980" s="31"/>
    </row>
    <row r="981" ht="15.75" customHeight="1">
      <c r="A981" s="31"/>
      <c r="C981" s="82"/>
      <c r="H981" s="31"/>
      <c r="I981" s="11"/>
      <c r="J981" s="9"/>
      <c r="K981" s="9"/>
      <c r="L981" s="11"/>
      <c r="M981" s="31"/>
      <c r="N981" s="31"/>
      <c r="O981" s="31"/>
    </row>
    <row r="982" ht="15.75" customHeight="1">
      <c r="A982" s="31"/>
      <c r="C982" s="82"/>
      <c r="H982" s="31"/>
      <c r="I982" s="11"/>
      <c r="J982" s="9"/>
      <c r="K982" s="9"/>
      <c r="L982" s="11"/>
      <c r="M982" s="31"/>
      <c r="N982" s="31"/>
      <c r="O982" s="31"/>
    </row>
    <row r="983" ht="15.75" customHeight="1">
      <c r="A983" s="31"/>
      <c r="C983" s="82"/>
      <c r="H983" s="31"/>
      <c r="I983" s="11"/>
      <c r="J983" s="9"/>
      <c r="K983" s="9"/>
      <c r="L983" s="11"/>
      <c r="M983" s="31"/>
      <c r="N983" s="31"/>
      <c r="O983" s="31"/>
    </row>
    <row r="984" ht="15.75" customHeight="1">
      <c r="A984" s="31"/>
      <c r="C984" s="82"/>
      <c r="H984" s="31"/>
      <c r="I984" s="11"/>
      <c r="J984" s="9"/>
      <c r="K984" s="9"/>
      <c r="L984" s="11"/>
      <c r="M984" s="31"/>
      <c r="N984" s="31"/>
      <c r="O984" s="31"/>
    </row>
    <row r="985" ht="15.75" customHeight="1">
      <c r="A985" s="31"/>
      <c r="C985" s="82"/>
      <c r="H985" s="31"/>
      <c r="I985" s="11"/>
      <c r="J985" s="9"/>
      <c r="K985" s="9"/>
      <c r="L985" s="11"/>
      <c r="M985" s="31"/>
      <c r="N985" s="31"/>
      <c r="O985" s="31"/>
    </row>
    <row r="986" ht="15.75" customHeight="1">
      <c r="A986" s="31"/>
      <c r="C986" s="82"/>
      <c r="H986" s="31"/>
      <c r="I986" s="11"/>
      <c r="J986" s="9"/>
      <c r="K986" s="9"/>
      <c r="L986" s="11"/>
      <c r="M986" s="31"/>
      <c r="N986" s="31"/>
      <c r="O986" s="31"/>
    </row>
    <row r="987" ht="15.75" customHeight="1">
      <c r="A987" s="31"/>
      <c r="C987" s="82"/>
      <c r="H987" s="31"/>
      <c r="I987" s="11"/>
      <c r="J987" s="9"/>
      <c r="K987" s="9"/>
      <c r="L987" s="11"/>
      <c r="M987" s="31"/>
      <c r="N987" s="31"/>
      <c r="O987" s="31"/>
    </row>
    <row r="988" ht="15.75" customHeight="1">
      <c r="A988" s="31"/>
      <c r="C988" s="82"/>
      <c r="H988" s="31"/>
      <c r="I988" s="11"/>
      <c r="J988" s="9"/>
      <c r="K988" s="9"/>
      <c r="L988" s="11"/>
      <c r="M988" s="31"/>
      <c r="N988" s="31"/>
      <c r="O988" s="31"/>
    </row>
    <row r="989" ht="15.75" customHeight="1">
      <c r="A989" s="31"/>
      <c r="C989" s="82"/>
      <c r="H989" s="31"/>
      <c r="I989" s="11"/>
      <c r="J989" s="9"/>
      <c r="K989" s="9"/>
      <c r="L989" s="11"/>
      <c r="M989" s="31"/>
      <c r="N989" s="31"/>
      <c r="O989" s="31"/>
    </row>
    <row r="990" ht="15.75" customHeight="1">
      <c r="A990" s="31"/>
      <c r="C990" s="82"/>
      <c r="H990" s="31"/>
      <c r="I990" s="11"/>
      <c r="J990" s="9"/>
      <c r="K990" s="9"/>
      <c r="L990" s="11"/>
      <c r="M990" s="31"/>
      <c r="N990" s="31"/>
      <c r="O990" s="31"/>
    </row>
    <row r="991" ht="15.75" customHeight="1">
      <c r="A991" s="31"/>
      <c r="C991" s="82"/>
      <c r="H991" s="31"/>
      <c r="I991" s="11"/>
      <c r="J991" s="9"/>
      <c r="K991" s="9"/>
      <c r="L991" s="11"/>
      <c r="M991" s="31"/>
      <c r="N991" s="31"/>
      <c r="O991" s="31"/>
    </row>
    <row r="992" ht="15.75" customHeight="1">
      <c r="A992" s="31"/>
      <c r="C992" s="82"/>
      <c r="H992" s="31"/>
      <c r="I992" s="11"/>
      <c r="J992" s="9"/>
      <c r="K992" s="9"/>
      <c r="L992" s="11"/>
      <c r="M992" s="31"/>
      <c r="N992" s="31"/>
      <c r="O992" s="31"/>
    </row>
  </sheetData>
  <conditionalFormatting sqref="H2:H75 I2:I992 L2:L992 H77:H163 H165:H294 H296:H992 J338 K339:K992">
    <cfRule type="cellIs" dxfId="0" priority="1" operator="equal">
      <formula>"上場"</formula>
    </cfRule>
  </conditionalFormatting>
  <conditionalFormatting sqref="D2:D256 D262:D263">
    <cfRule type="notContainsBlanks" dxfId="0" priority="2">
      <formula>LEN(TRIM(D2))&gt;0</formula>
    </cfRule>
  </conditionalFormatting>
  <conditionalFormatting sqref="H2:H75 I2:I992 L2:L992 H77:H163 H165:H294 H296:H992 J338 K339:K992">
    <cfRule type="cellIs" dxfId="1" priority="3" operator="equal">
      <formula>"バイアウト"</formula>
    </cfRule>
  </conditionalFormatting>
  <dataValidations>
    <dataValidation type="list" allowBlank="1" sqref="I2:I992">
      <formula1>"1~10,10~50,50~100,100~300,300~1000,1000~10000,10000~"</formula1>
    </dataValidation>
    <dataValidation type="list" allowBlank="1" sqref="D2:D337">
      <formula1>'カテゴリ情報'!$B$2:$B$31</formula1>
    </dataValidation>
    <dataValidation type="list" allowBlank="1" sqref="D338:D339">
      <formula1>"フェムテック,メンタルヘルス,健康経営,歯科領域,医療機関DX,薬局DX,医療画像,簡易検査,在宅医療,人材,電子カルテ,クリニックチェーン,手術支援,医療機器,オンライン診療,健康相談,DMP/PHR,美容,介護,保険,D2C"</formula1>
    </dataValidation>
    <dataValidation type="list" allowBlank="1" sqref="J338 L2:L338 K339:L992">
      <formula1>"上場,未上場,バイアウト"</formula1>
    </dataValidation>
  </dataValidations>
  <hyperlinks>
    <hyperlink r:id="rId2" ref="C2"/>
    <hyperlink r:id="rId3" ref="O2"/>
    <hyperlink r:id="rId4" ref="C3"/>
    <hyperlink r:id="rId5" ref="O3"/>
    <hyperlink r:id="rId6" ref="C4"/>
    <hyperlink r:id="rId7" ref="O4"/>
    <hyperlink r:id="rId8" ref="C5"/>
    <hyperlink r:id="rId9" ref="O5"/>
    <hyperlink r:id="rId10" ref="C6"/>
    <hyperlink r:id="rId11" ref="O6"/>
    <hyperlink r:id="rId12" ref="C7"/>
    <hyperlink r:id="rId13" ref="O7"/>
    <hyperlink r:id="rId14" ref="O8"/>
    <hyperlink r:id="rId15" ref="C9"/>
    <hyperlink r:id="rId16" ref="O9"/>
    <hyperlink r:id="rId17" ref="C10"/>
    <hyperlink r:id="rId18" ref="O10"/>
    <hyperlink r:id="rId19" ref="O11"/>
    <hyperlink r:id="rId20" ref="C12"/>
    <hyperlink r:id="rId21" ref="O12"/>
    <hyperlink r:id="rId22" ref="C13"/>
    <hyperlink r:id="rId23" ref="O13"/>
    <hyperlink r:id="rId24" ref="C14"/>
    <hyperlink r:id="rId25" ref="N14"/>
    <hyperlink r:id="rId26" ref="O14"/>
    <hyperlink r:id="rId27" ref="C15"/>
    <hyperlink r:id="rId28" ref="N15"/>
    <hyperlink r:id="rId29" ref="O15"/>
    <hyperlink r:id="rId30" ref="C16"/>
    <hyperlink r:id="rId31" ref="O16"/>
    <hyperlink r:id="rId32" ref="O17"/>
    <hyperlink r:id="rId33" ref="O18"/>
    <hyperlink r:id="rId34" ref="O19"/>
    <hyperlink r:id="rId35" ref="C20"/>
    <hyperlink r:id="rId36" ref="O20"/>
    <hyperlink r:id="rId37" ref="O21"/>
    <hyperlink r:id="rId38" ref="C22"/>
    <hyperlink r:id="rId39" ref="O22"/>
    <hyperlink r:id="rId40" ref="C23"/>
    <hyperlink r:id="rId41" ref="O23"/>
    <hyperlink r:id="rId42" ref="C24"/>
    <hyperlink r:id="rId43" ref="O24"/>
    <hyperlink r:id="rId44" ref="C25"/>
    <hyperlink r:id="rId45" ref="O25"/>
    <hyperlink r:id="rId46" ref="C26"/>
    <hyperlink r:id="rId47" ref="O26"/>
    <hyperlink r:id="rId48" ref="O27"/>
    <hyperlink r:id="rId49" ref="C28"/>
    <hyperlink r:id="rId50" ref="N28"/>
    <hyperlink r:id="rId51" ref="O28"/>
    <hyperlink r:id="rId52" ref="C29"/>
    <hyperlink r:id="rId53" ref="O29"/>
    <hyperlink r:id="rId54" ref="C30"/>
    <hyperlink r:id="rId55" ref="O30"/>
    <hyperlink r:id="rId56" ref="C31"/>
    <hyperlink r:id="rId57" ref="O31"/>
    <hyperlink r:id="rId58" ref="O32"/>
    <hyperlink r:id="rId59" ref="C33"/>
    <hyperlink r:id="rId60" ref="O33"/>
    <hyperlink r:id="rId61" ref="C34"/>
    <hyperlink r:id="rId62" ref="O34"/>
    <hyperlink r:id="rId63" ref="O35"/>
    <hyperlink r:id="rId64" ref="O36"/>
    <hyperlink r:id="rId65" ref="C37"/>
    <hyperlink r:id="rId66" ref="O37"/>
    <hyperlink r:id="rId67" ref="O38"/>
    <hyperlink r:id="rId68" ref="O39"/>
    <hyperlink r:id="rId69" ref="C40"/>
    <hyperlink r:id="rId70" ref="O40"/>
    <hyperlink r:id="rId71" ref="C41"/>
    <hyperlink r:id="rId72" ref="O41"/>
    <hyperlink r:id="rId73" ref="O42"/>
    <hyperlink r:id="rId74" ref="O43"/>
    <hyperlink r:id="rId75" ref="C44"/>
    <hyperlink r:id="rId76" ref="O44"/>
    <hyperlink r:id="rId77" ref="C45"/>
    <hyperlink r:id="rId78" ref="O45"/>
    <hyperlink r:id="rId79" ref="O46"/>
    <hyperlink r:id="rId80" ref="O47"/>
    <hyperlink r:id="rId81" ref="C48"/>
    <hyperlink r:id="rId82" ref="O48"/>
    <hyperlink r:id="rId83" ref="O49"/>
    <hyperlink r:id="rId84" ref="O50"/>
    <hyperlink r:id="rId85" ref="C51"/>
    <hyperlink r:id="rId86" ref="O51"/>
    <hyperlink r:id="rId87" ref="O52"/>
    <hyperlink r:id="rId88" ref="C53"/>
    <hyperlink r:id="rId89" ref="O53"/>
    <hyperlink r:id="rId90" ref="O54"/>
    <hyperlink r:id="rId91" ref="C55"/>
    <hyperlink r:id="rId92" ref="O55"/>
    <hyperlink r:id="rId93" ref="O56"/>
    <hyperlink r:id="rId94" ref="C57"/>
    <hyperlink r:id="rId95" ref="O57"/>
    <hyperlink r:id="rId96" ref="C58"/>
    <hyperlink r:id="rId97" ref="O58"/>
    <hyperlink r:id="rId98" ref="C59"/>
    <hyperlink r:id="rId99" ref="O59"/>
    <hyperlink r:id="rId100" ref="O60"/>
    <hyperlink r:id="rId101" ref="O61"/>
    <hyperlink r:id="rId102" ref="O62"/>
    <hyperlink r:id="rId103" ref="C63"/>
    <hyperlink r:id="rId104" ref="O63"/>
    <hyperlink r:id="rId105" ref="O64"/>
    <hyperlink r:id="rId106" ref="C65"/>
    <hyperlink r:id="rId107" ref="O65"/>
    <hyperlink r:id="rId108" ref="O66"/>
    <hyperlink r:id="rId109" ref="C67"/>
    <hyperlink r:id="rId110" ref="O67"/>
    <hyperlink r:id="rId111" ref="O68"/>
    <hyperlink r:id="rId112" ref="O69"/>
    <hyperlink r:id="rId113" ref="C70"/>
    <hyperlink r:id="rId114" ref="O70"/>
    <hyperlink r:id="rId115" ref="C71"/>
    <hyperlink r:id="rId116" ref="O71"/>
    <hyperlink r:id="rId117" ref="O72"/>
    <hyperlink r:id="rId118" ref="C73"/>
    <hyperlink r:id="rId119" ref="O73"/>
    <hyperlink r:id="rId120" ref="C74"/>
    <hyperlink r:id="rId121" ref="O74"/>
    <hyperlink r:id="rId122" ref="C75"/>
    <hyperlink r:id="rId123" ref="O75"/>
    <hyperlink r:id="rId124" ref="O76"/>
    <hyperlink r:id="rId125" ref="O77"/>
    <hyperlink r:id="rId126" ref="C78"/>
    <hyperlink r:id="rId127" ref="O78"/>
    <hyperlink r:id="rId128" ref="O79"/>
    <hyperlink r:id="rId129" ref="O80"/>
    <hyperlink r:id="rId130" ref="O81"/>
    <hyperlink r:id="rId131" ref="C82"/>
    <hyperlink r:id="rId132" ref="O82"/>
    <hyperlink r:id="rId133" ref="O83"/>
    <hyperlink r:id="rId134" ref="C84"/>
    <hyperlink r:id="rId135" ref="O84"/>
    <hyperlink r:id="rId136" ref="O85"/>
    <hyperlink r:id="rId137" ref="C86"/>
    <hyperlink r:id="rId138" ref="O86"/>
    <hyperlink r:id="rId139" ref="O87"/>
    <hyperlink r:id="rId140" ref="C88"/>
    <hyperlink r:id="rId141" ref="O88"/>
    <hyperlink r:id="rId142" ref="O89"/>
    <hyperlink r:id="rId143" ref="C90"/>
    <hyperlink r:id="rId144" ref="O90"/>
    <hyperlink r:id="rId145" ref="C91"/>
    <hyperlink r:id="rId146" ref="O91"/>
    <hyperlink r:id="rId147" ref="O92"/>
    <hyperlink r:id="rId148" ref="O93"/>
    <hyperlink r:id="rId149" ref="O94"/>
    <hyperlink r:id="rId150" ref="O95"/>
    <hyperlink r:id="rId151" ref="O96"/>
    <hyperlink r:id="rId152" ref="O97"/>
    <hyperlink r:id="rId153" ref="O98"/>
    <hyperlink r:id="rId154" ref="O99"/>
    <hyperlink r:id="rId155" ref="O100"/>
    <hyperlink r:id="rId156" ref="O101"/>
    <hyperlink r:id="rId157" ref="O102"/>
    <hyperlink r:id="rId158" ref="O103"/>
    <hyperlink r:id="rId159" ref="O104"/>
    <hyperlink r:id="rId160" ref="O105"/>
    <hyperlink r:id="rId161" ref="O106"/>
    <hyperlink r:id="rId162" ref="O107"/>
    <hyperlink r:id="rId163" ref="O108"/>
    <hyperlink r:id="rId164" ref="O109"/>
    <hyperlink r:id="rId165" ref="O110"/>
    <hyperlink r:id="rId166" ref="O111"/>
    <hyperlink r:id="rId167" ref="O112"/>
    <hyperlink r:id="rId168" ref="O113"/>
    <hyperlink r:id="rId169" ref="O114"/>
    <hyperlink r:id="rId170" ref="O115"/>
    <hyperlink r:id="rId171" ref="O116"/>
    <hyperlink r:id="rId172" ref="O117"/>
    <hyperlink r:id="rId173" location="corporate-information" ref="C118"/>
    <hyperlink r:id="rId174" ref="O118"/>
    <hyperlink r:id="rId175" ref="O119"/>
    <hyperlink r:id="rId176" ref="O120"/>
    <hyperlink r:id="rId177" ref="O121"/>
    <hyperlink r:id="rId178" ref="O122"/>
    <hyperlink r:id="rId179" ref="C123"/>
    <hyperlink r:id="rId180" ref="O123"/>
    <hyperlink r:id="rId181" ref="C124"/>
    <hyperlink r:id="rId182" ref="O124"/>
    <hyperlink r:id="rId183" ref="O125"/>
    <hyperlink r:id="rId184" ref="O126"/>
    <hyperlink r:id="rId185" ref="C127"/>
    <hyperlink r:id="rId186" ref="O127"/>
    <hyperlink r:id="rId187" ref="C128"/>
    <hyperlink r:id="rId188" ref="O128"/>
    <hyperlink r:id="rId189" ref="O129"/>
    <hyperlink r:id="rId190" ref="O130"/>
    <hyperlink r:id="rId191" ref="O131"/>
    <hyperlink r:id="rId192" ref="O132"/>
    <hyperlink r:id="rId193" ref="O133"/>
    <hyperlink r:id="rId194" ref="O134"/>
    <hyperlink r:id="rId195" ref="O135"/>
    <hyperlink r:id="rId196" ref="O136"/>
    <hyperlink r:id="rId197" ref="O137"/>
    <hyperlink r:id="rId198" ref="E138"/>
    <hyperlink r:id="rId199" ref="O138"/>
    <hyperlink r:id="rId200" ref="C139"/>
    <hyperlink r:id="rId201" ref="O139"/>
    <hyperlink r:id="rId202" ref="E140"/>
    <hyperlink r:id="rId203" ref="O140"/>
    <hyperlink r:id="rId204" ref="C141"/>
    <hyperlink r:id="rId205" ref="O141"/>
    <hyperlink r:id="rId206" ref="O142"/>
    <hyperlink r:id="rId207" ref="O143"/>
    <hyperlink r:id="rId208" ref="C144"/>
    <hyperlink r:id="rId209" ref="O144"/>
    <hyperlink r:id="rId210" ref="C145"/>
    <hyperlink r:id="rId211" ref="O145"/>
    <hyperlink r:id="rId212" ref="C146"/>
    <hyperlink r:id="rId213" ref="O146"/>
    <hyperlink r:id="rId214" ref="O147"/>
    <hyperlink r:id="rId215" ref="O148"/>
    <hyperlink r:id="rId216" ref="C149"/>
    <hyperlink r:id="rId217" ref="E149"/>
    <hyperlink r:id="rId218" ref="O149"/>
    <hyperlink r:id="rId219" ref="C150"/>
    <hyperlink r:id="rId220" ref="O150"/>
    <hyperlink r:id="rId221" ref="O151"/>
    <hyperlink r:id="rId222" ref="O152"/>
    <hyperlink r:id="rId223" ref="O153"/>
    <hyperlink r:id="rId224" ref="O154"/>
    <hyperlink r:id="rId225" ref="C155"/>
    <hyperlink r:id="rId226" ref="O155"/>
    <hyperlink r:id="rId227" ref="C156"/>
    <hyperlink r:id="rId228" ref="O156"/>
    <hyperlink r:id="rId229" ref="O157"/>
    <hyperlink r:id="rId230" ref="O158"/>
    <hyperlink r:id="rId231" ref="O159"/>
    <hyperlink r:id="rId232" ref="O160"/>
    <hyperlink r:id="rId233" ref="O161"/>
    <hyperlink r:id="rId234" ref="C162"/>
    <hyperlink r:id="rId235" ref="O162"/>
    <hyperlink r:id="rId236" ref="O163"/>
    <hyperlink r:id="rId237" ref="O164"/>
    <hyperlink r:id="rId238" ref="O165"/>
    <hyperlink r:id="rId239" ref="C166"/>
    <hyperlink r:id="rId240" ref="O166"/>
    <hyperlink r:id="rId241" ref="O167"/>
    <hyperlink r:id="rId242" ref="O168"/>
    <hyperlink r:id="rId243" ref="C169"/>
    <hyperlink r:id="rId244" ref="O169"/>
    <hyperlink r:id="rId245" ref="C170"/>
    <hyperlink r:id="rId246" ref="O170"/>
    <hyperlink r:id="rId247" location="section1" ref="C171"/>
    <hyperlink r:id="rId248" ref="O171"/>
    <hyperlink r:id="rId249" ref="C172"/>
    <hyperlink r:id="rId250" ref="O172"/>
    <hyperlink r:id="rId251" ref="C173"/>
    <hyperlink r:id="rId252" ref="O173"/>
    <hyperlink r:id="rId253" ref="O174"/>
    <hyperlink r:id="rId254" ref="O175"/>
    <hyperlink r:id="rId255" ref="O176"/>
    <hyperlink r:id="rId256" ref="O177"/>
    <hyperlink r:id="rId257" ref="O178"/>
    <hyperlink r:id="rId258" ref="O179"/>
    <hyperlink r:id="rId259" ref="O180"/>
    <hyperlink r:id="rId260" ref="O181"/>
    <hyperlink r:id="rId261" ref="C182"/>
    <hyperlink r:id="rId262" ref="O182"/>
    <hyperlink r:id="rId263" ref="C183"/>
    <hyperlink r:id="rId264" ref="O183"/>
    <hyperlink r:id="rId265" ref="C184"/>
    <hyperlink r:id="rId266" ref="E184"/>
    <hyperlink r:id="rId267" ref="O184"/>
    <hyperlink r:id="rId268" ref="C185"/>
    <hyperlink r:id="rId269" ref="O185"/>
    <hyperlink r:id="rId270" ref="C186"/>
    <hyperlink r:id="rId271" ref="O186"/>
    <hyperlink r:id="rId272" ref="O187"/>
    <hyperlink r:id="rId273" ref="O188"/>
    <hyperlink r:id="rId274" ref="C189"/>
    <hyperlink r:id="rId275" ref="O189"/>
    <hyperlink r:id="rId276" ref="O190"/>
    <hyperlink r:id="rId277" ref="C191"/>
    <hyperlink r:id="rId278" ref="O191"/>
    <hyperlink r:id="rId279" ref="C192"/>
    <hyperlink r:id="rId280" ref="O192"/>
    <hyperlink r:id="rId281" ref="C193"/>
    <hyperlink r:id="rId282" ref="O193"/>
    <hyperlink r:id="rId283" ref="O194"/>
    <hyperlink r:id="rId284" ref="O195"/>
    <hyperlink r:id="rId285" ref="C196"/>
    <hyperlink r:id="rId286" ref="O196"/>
    <hyperlink r:id="rId287" ref="O197"/>
    <hyperlink r:id="rId288" ref="C198"/>
    <hyperlink r:id="rId289" ref="O198"/>
    <hyperlink r:id="rId290" ref="C199"/>
    <hyperlink r:id="rId291" ref="O199"/>
    <hyperlink r:id="rId292" ref="C200"/>
    <hyperlink r:id="rId293" ref="O200"/>
    <hyperlink r:id="rId294" ref="C201"/>
    <hyperlink r:id="rId295" ref="O201"/>
    <hyperlink r:id="rId296" ref="O202"/>
    <hyperlink r:id="rId297" ref="C203"/>
    <hyperlink r:id="rId298" ref="O203"/>
    <hyperlink r:id="rId299" ref="C204"/>
    <hyperlink r:id="rId300" ref="O204"/>
    <hyperlink r:id="rId301" ref="C205"/>
    <hyperlink r:id="rId302" ref="O205"/>
    <hyperlink r:id="rId303" ref="O206"/>
    <hyperlink r:id="rId304" ref="O207"/>
    <hyperlink r:id="rId305" ref="C208"/>
    <hyperlink r:id="rId306" ref="O208"/>
    <hyperlink r:id="rId307" ref="C209"/>
    <hyperlink r:id="rId308" ref="O209"/>
    <hyperlink r:id="rId309" ref="C210"/>
    <hyperlink r:id="rId310" ref="O210"/>
    <hyperlink r:id="rId311" ref="O211"/>
    <hyperlink r:id="rId312" ref="C212"/>
    <hyperlink r:id="rId313" ref="O212"/>
    <hyperlink r:id="rId314" ref="C213"/>
    <hyperlink r:id="rId315" ref="O213"/>
    <hyperlink r:id="rId316" ref="O214"/>
    <hyperlink r:id="rId317" ref="C215"/>
    <hyperlink r:id="rId318" ref="O215"/>
    <hyperlink r:id="rId319" ref="O216"/>
    <hyperlink r:id="rId320" ref="O217"/>
    <hyperlink r:id="rId321" ref="C218"/>
    <hyperlink r:id="rId322" ref="O218"/>
    <hyperlink r:id="rId323" ref="C219"/>
    <hyperlink r:id="rId324" ref="O219"/>
    <hyperlink r:id="rId325" ref="C220"/>
    <hyperlink r:id="rId326" ref="O220"/>
    <hyperlink r:id="rId327" ref="C221"/>
    <hyperlink r:id="rId328" ref="O221"/>
    <hyperlink r:id="rId329" ref="C222"/>
    <hyperlink r:id="rId330" ref="O222"/>
    <hyperlink r:id="rId331" ref="C223"/>
    <hyperlink r:id="rId332" ref="O223"/>
    <hyperlink r:id="rId333" ref="O224"/>
    <hyperlink r:id="rId334" ref="C225"/>
    <hyperlink r:id="rId335" ref="O225"/>
    <hyperlink r:id="rId336" ref="O226"/>
    <hyperlink r:id="rId337" ref="C227"/>
    <hyperlink r:id="rId338" ref="O227"/>
    <hyperlink r:id="rId339" ref="O228"/>
    <hyperlink r:id="rId340" ref="O229"/>
    <hyperlink r:id="rId341" ref="C230"/>
    <hyperlink r:id="rId342" ref="O230"/>
    <hyperlink r:id="rId343" ref="O231"/>
    <hyperlink r:id="rId344" ref="O232"/>
    <hyperlink r:id="rId345" ref="O233"/>
    <hyperlink r:id="rId346" ref="O234"/>
    <hyperlink r:id="rId347" ref="O235"/>
    <hyperlink r:id="rId348" ref="O236"/>
    <hyperlink r:id="rId349" ref="O237"/>
    <hyperlink r:id="rId350" ref="C238"/>
    <hyperlink r:id="rId351" ref="O238"/>
    <hyperlink r:id="rId352" ref="C239"/>
    <hyperlink r:id="rId353" ref="O239"/>
    <hyperlink r:id="rId354" ref="C240"/>
    <hyperlink r:id="rId355" ref="O240"/>
    <hyperlink r:id="rId356" ref="C241"/>
    <hyperlink r:id="rId357" ref="O241"/>
    <hyperlink r:id="rId358" ref="C242"/>
    <hyperlink r:id="rId359" ref="O242"/>
    <hyperlink r:id="rId360" ref="C243"/>
    <hyperlink r:id="rId361" ref="O243"/>
    <hyperlink r:id="rId362" ref="C244"/>
    <hyperlink r:id="rId363" ref="O244"/>
    <hyperlink r:id="rId364" ref="O245"/>
    <hyperlink r:id="rId365" ref="C246"/>
    <hyperlink r:id="rId366" ref="O246"/>
    <hyperlink r:id="rId367" ref="C247"/>
    <hyperlink r:id="rId368" ref="O247"/>
    <hyperlink r:id="rId369" ref="C248"/>
    <hyperlink r:id="rId370" ref="O248"/>
    <hyperlink r:id="rId371" ref="C249"/>
    <hyperlink r:id="rId372" ref="O249"/>
    <hyperlink r:id="rId373" ref="C250"/>
    <hyperlink r:id="rId374" ref="O250"/>
    <hyperlink r:id="rId375" ref="C251"/>
    <hyperlink r:id="rId376" ref="O251"/>
    <hyperlink r:id="rId377" ref="C252"/>
    <hyperlink r:id="rId378" ref="O252"/>
    <hyperlink r:id="rId379" ref="C253"/>
    <hyperlink r:id="rId380" ref="O253"/>
    <hyperlink r:id="rId381" ref="O254"/>
    <hyperlink r:id="rId382" ref="O255"/>
    <hyperlink r:id="rId383" location="overview" ref="C256"/>
    <hyperlink r:id="rId384" ref="O256"/>
    <hyperlink r:id="rId385" ref="C257"/>
    <hyperlink r:id="rId386" ref="O257"/>
    <hyperlink r:id="rId387" ref="C258"/>
    <hyperlink r:id="rId388" ref="O258"/>
    <hyperlink r:id="rId389" ref="C259"/>
    <hyperlink r:id="rId390" ref="O259"/>
    <hyperlink r:id="rId391" ref="C260"/>
    <hyperlink r:id="rId392" ref="O260"/>
    <hyperlink r:id="rId393" ref="C261"/>
    <hyperlink r:id="rId394" ref="O261"/>
    <hyperlink r:id="rId395" location="company" ref="C262"/>
    <hyperlink r:id="rId396" ref="O262"/>
    <hyperlink r:id="rId397" ref="C263"/>
    <hyperlink r:id="rId398" ref="O263"/>
    <hyperlink r:id="rId399" ref="O264"/>
    <hyperlink r:id="rId400" location="cont2" ref="C265"/>
    <hyperlink r:id="rId401" ref="O265"/>
    <hyperlink r:id="rId402" ref="C266"/>
    <hyperlink r:id="rId403" ref="O266"/>
    <hyperlink r:id="rId404" ref="C267"/>
    <hyperlink r:id="rId405" ref="O267"/>
    <hyperlink r:id="rId406" ref="C268"/>
    <hyperlink r:id="rId407" ref="O268"/>
    <hyperlink r:id="rId408" ref="C269"/>
    <hyperlink r:id="rId409" ref="O269"/>
    <hyperlink r:id="rId410" ref="C270"/>
    <hyperlink r:id="rId411" ref="O270"/>
    <hyperlink r:id="rId412" ref="C271"/>
    <hyperlink r:id="rId413" ref="O271"/>
    <hyperlink r:id="rId414" ref="C272"/>
    <hyperlink r:id="rId415" ref="O272"/>
    <hyperlink r:id="rId416" ref="C273"/>
    <hyperlink r:id="rId417" ref="O273"/>
    <hyperlink r:id="rId418" ref="C274"/>
    <hyperlink r:id="rId419" ref="O274"/>
    <hyperlink r:id="rId420" ref="C275"/>
    <hyperlink r:id="rId421" ref="O275"/>
    <hyperlink r:id="rId422" ref="C276"/>
    <hyperlink r:id="rId423" ref="O276"/>
    <hyperlink r:id="rId424" ref="C277"/>
    <hyperlink r:id="rId425" ref="O277"/>
    <hyperlink r:id="rId426" ref="C278"/>
    <hyperlink r:id="rId427" ref="O278"/>
    <hyperlink r:id="rId428" ref="C279"/>
    <hyperlink r:id="rId429" ref="O279"/>
    <hyperlink r:id="rId430" ref="C280"/>
    <hyperlink r:id="rId431" ref="O280"/>
    <hyperlink r:id="rId432" ref="C281"/>
    <hyperlink r:id="rId433" ref="O281"/>
    <hyperlink r:id="rId434" ref="C282"/>
    <hyperlink r:id="rId435" ref="O282"/>
    <hyperlink r:id="rId436" ref="C283"/>
    <hyperlink r:id="rId437" ref="O283"/>
    <hyperlink r:id="rId438" ref="C284"/>
    <hyperlink r:id="rId439" ref="O284"/>
    <hyperlink r:id="rId440" ref="C285"/>
    <hyperlink r:id="rId441" ref="O285"/>
    <hyperlink r:id="rId442" ref="C286"/>
    <hyperlink r:id="rId443" ref="O286"/>
    <hyperlink r:id="rId444" ref="C287"/>
    <hyperlink r:id="rId445" ref="O287"/>
    <hyperlink r:id="rId446" ref="C288"/>
    <hyperlink r:id="rId447" ref="O288"/>
    <hyperlink r:id="rId448" ref="C289"/>
    <hyperlink r:id="rId449" ref="O289"/>
    <hyperlink r:id="rId450" ref="C290"/>
    <hyperlink r:id="rId451" ref="O290"/>
    <hyperlink r:id="rId452" ref="C291"/>
    <hyperlink r:id="rId453" ref="O291"/>
    <hyperlink r:id="rId454" ref="C292"/>
    <hyperlink r:id="rId455" ref="O292"/>
    <hyperlink r:id="rId456" ref="C293"/>
    <hyperlink r:id="rId457" ref="O293"/>
    <hyperlink r:id="rId458" ref="C294"/>
    <hyperlink r:id="rId459" ref="O294"/>
    <hyperlink r:id="rId460" ref="O295"/>
    <hyperlink r:id="rId461" ref="C296"/>
    <hyperlink r:id="rId462" ref="O296"/>
    <hyperlink r:id="rId463" ref="C297"/>
    <hyperlink r:id="rId464" ref="O297"/>
    <hyperlink r:id="rId465" ref="C298"/>
    <hyperlink r:id="rId466" ref="O298"/>
    <hyperlink r:id="rId467" ref="C299"/>
    <hyperlink r:id="rId468" ref="O299"/>
    <hyperlink r:id="rId469" ref="C300"/>
    <hyperlink r:id="rId470" ref="O300"/>
    <hyperlink r:id="rId471" ref="C301"/>
    <hyperlink r:id="rId472" ref="O301"/>
    <hyperlink r:id="rId473" ref="C302"/>
    <hyperlink r:id="rId474" ref="O302"/>
    <hyperlink r:id="rId475" ref="C303"/>
    <hyperlink r:id="rId476" ref="O303"/>
    <hyperlink r:id="rId477" ref="C304"/>
    <hyperlink r:id="rId478" ref="O304"/>
    <hyperlink r:id="rId479" ref="C305"/>
    <hyperlink r:id="rId480" ref="O305"/>
    <hyperlink r:id="rId481" ref="C306"/>
    <hyperlink r:id="rId482" ref="O306"/>
    <hyperlink r:id="rId483" ref="C307"/>
    <hyperlink r:id="rId484" ref="O307"/>
    <hyperlink r:id="rId485" ref="C308"/>
    <hyperlink r:id="rId486" ref="O308"/>
    <hyperlink r:id="rId487" ref="C309"/>
    <hyperlink r:id="rId488" ref="O309"/>
    <hyperlink r:id="rId489" ref="C310"/>
    <hyperlink r:id="rId490" ref="O310"/>
    <hyperlink r:id="rId491" ref="C311"/>
    <hyperlink r:id="rId492" ref="O311"/>
    <hyperlink r:id="rId493" ref="C312"/>
    <hyperlink r:id="rId494" ref="O312"/>
    <hyperlink r:id="rId495" ref="C313"/>
    <hyperlink r:id="rId496" ref="O313"/>
    <hyperlink r:id="rId497" ref="C314"/>
    <hyperlink r:id="rId498" ref="O314"/>
    <hyperlink r:id="rId499" ref="C315"/>
    <hyperlink r:id="rId500" ref="O315"/>
    <hyperlink r:id="rId501" ref="C316"/>
    <hyperlink r:id="rId502" ref="O316"/>
    <hyperlink r:id="rId503" ref="C317"/>
    <hyperlink r:id="rId504" ref="O317"/>
    <hyperlink r:id="rId505" ref="C318"/>
    <hyperlink r:id="rId506" ref="O318"/>
    <hyperlink r:id="rId507" ref="C319"/>
    <hyperlink r:id="rId508" ref="O319"/>
    <hyperlink r:id="rId509" ref="C320"/>
    <hyperlink r:id="rId510" ref="O320"/>
    <hyperlink r:id="rId511" ref="C321"/>
    <hyperlink r:id="rId512" ref="O321"/>
    <hyperlink r:id="rId513" ref="C322"/>
    <hyperlink r:id="rId514" ref="O322"/>
    <hyperlink r:id="rId515" ref="C323"/>
    <hyperlink r:id="rId516" ref="O323"/>
    <hyperlink r:id="rId517" ref="C324"/>
    <hyperlink r:id="rId518" ref="O324"/>
    <hyperlink r:id="rId519" ref="C325"/>
    <hyperlink r:id="rId520" ref="E325"/>
    <hyperlink r:id="rId521" ref="O325"/>
    <hyperlink r:id="rId522" ref="C326"/>
    <hyperlink r:id="rId523" ref="O326"/>
    <hyperlink r:id="rId524" ref="C327"/>
    <hyperlink r:id="rId525" ref="O327"/>
    <hyperlink r:id="rId526" ref="C328"/>
    <hyperlink r:id="rId527" ref="O328"/>
    <hyperlink r:id="rId528" ref="C329"/>
    <hyperlink r:id="rId529" ref="O329"/>
    <hyperlink r:id="rId530" ref="C330"/>
    <hyperlink r:id="rId531" ref="O330"/>
    <hyperlink r:id="rId532" ref="C331"/>
    <hyperlink r:id="rId533" ref="O331"/>
    <hyperlink r:id="rId534" ref="C332"/>
    <hyperlink r:id="rId535" ref="O332"/>
    <hyperlink r:id="rId536" ref="C333"/>
    <hyperlink r:id="rId537" ref="O333"/>
    <hyperlink r:id="rId538" ref="C334"/>
    <hyperlink r:id="rId539" ref="O334"/>
    <hyperlink r:id="rId540" ref="C335"/>
    <hyperlink r:id="rId541" ref="O335"/>
    <hyperlink r:id="rId542" ref="C336"/>
    <hyperlink r:id="rId543" ref="O336"/>
    <hyperlink r:id="rId544" ref="C337"/>
    <hyperlink r:id="rId545" ref="O337"/>
  </hyperlinks>
  <drawing r:id="rId546"/>
  <legacyDrawing r:id="rId5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83" t="s">
        <v>2224</v>
      </c>
      <c r="B1" s="83" t="s">
        <v>2225</v>
      </c>
      <c r="C1" s="83" t="s">
        <v>2226</v>
      </c>
    </row>
    <row r="2">
      <c r="A2" s="83" t="s">
        <v>2227</v>
      </c>
      <c r="B2" s="83" t="s">
        <v>144</v>
      </c>
      <c r="C2" s="83" t="s">
        <v>2228</v>
      </c>
      <c r="E2" s="83" t="s">
        <v>2229</v>
      </c>
    </row>
    <row r="3">
      <c r="B3" s="83" t="s">
        <v>172</v>
      </c>
      <c r="C3" s="83" t="s">
        <v>2230</v>
      </c>
      <c r="E3" s="83" t="s">
        <v>2229</v>
      </c>
    </row>
    <row r="4">
      <c r="B4" s="83" t="s">
        <v>266</v>
      </c>
      <c r="C4" s="83" t="s">
        <v>2231</v>
      </c>
      <c r="E4" s="83" t="s">
        <v>2229</v>
      </c>
    </row>
    <row r="5">
      <c r="B5" s="83" t="s">
        <v>90</v>
      </c>
      <c r="C5" s="83" t="s">
        <v>2232</v>
      </c>
      <c r="E5" s="83" t="s">
        <v>2229</v>
      </c>
    </row>
    <row r="6">
      <c r="B6" s="83" t="s">
        <v>74</v>
      </c>
      <c r="C6" s="83" t="s">
        <v>2233</v>
      </c>
      <c r="E6" s="83" t="s">
        <v>2229</v>
      </c>
    </row>
    <row r="7">
      <c r="B7" s="83" t="s">
        <v>2128</v>
      </c>
      <c r="C7" s="83" t="s">
        <v>2234</v>
      </c>
      <c r="E7" s="83" t="s">
        <v>2229</v>
      </c>
    </row>
    <row r="8">
      <c r="B8" s="83" t="s">
        <v>2135</v>
      </c>
      <c r="C8" s="83" t="s">
        <v>2235</v>
      </c>
      <c r="E8" s="83" t="s">
        <v>2229</v>
      </c>
    </row>
    <row r="9">
      <c r="A9" s="83" t="s">
        <v>2236</v>
      </c>
      <c r="B9" s="83" t="s">
        <v>56</v>
      </c>
      <c r="C9" s="83" t="s">
        <v>2237</v>
      </c>
      <c r="E9" s="83" t="s">
        <v>2229</v>
      </c>
    </row>
    <row r="10">
      <c r="B10" s="83" t="s">
        <v>179</v>
      </c>
      <c r="C10" s="83" t="s">
        <v>2238</v>
      </c>
      <c r="E10" s="83" t="s">
        <v>2229</v>
      </c>
    </row>
    <row r="11">
      <c r="B11" s="83" t="s">
        <v>2142</v>
      </c>
      <c r="C11" s="83" t="s">
        <v>2239</v>
      </c>
      <c r="E11" s="83" t="s">
        <v>2229</v>
      </c>
    </row>
    <row r="12">
      <c r="B12" s="83" t="s">
        <v>116</v>
      </c>
      <c r="C12" s="83" t="s">
        <v>2240</v>
      </c>
      <c r="E12" s="83" t="s">
        <v>2229</v>
      </c>
    </row>
    <row r="13">
      <c r="B13" s="83" t="s">
        <v>247</v>
      </c>
      <c r="C13" s="83" t="s">
        <v>2241</v>
      </c>
      <c r="E13" s="83" t="s">
        <v>2229</v>
      </c>
    </row>
    <row r="14">
      <c r="B14" s="83" t="s">
        <v>567</v>
      </c>
      <c r="C14" s="83" t="s">
        <v>2242</v>
      </c>
      <c r="E14" s="83" t="s">
        <v>2229</v>
      </c>
    </row>
    <row r="15">
      <c r="B15" s="83" t="s">
        <v>82</v>
      </c>
      <c r="C15" s="83" t="s">
        <v>2243</v>
      </c>
      <c r="E15" s="83" t="s">
        <v>2229</v>
      </c>
    </row>
    <row r="16">
      <c r="B16" s="83" t="s">
        <v>2244</v>
      </c>
      <c r="C16" s="83" t="s">
        <v>2245</v>
      </c>
      <c r="E16" s="83" t="s">
        <v>2229</v>
      </c>
    </row>
    <row r="17">
      <c r="B17" s="83" t="s">
        <v>136</v>
      </c>
      <c r="C17" s="83" t="s">
        <v>2246</v>
      </c>
      <c r="E17" s="83" t="s">
        <v>2229</v>
      </c>
    </row>
    <row r="18">
      <c r="B18" s="83" t="s">
        <v>17</v>
      </c>
      <c r="C18" s="83" t="s">
        <v>2247</v>
      </c>
      <c r="E18" s="83" t="s">
        <v>2229</v>
      </c>
    </row>
    <row r="19">
      <c r="B19" s="83" t="s">
        <v>2248</v>
      </c>
      <c r="C19" s="83" t="s">
        <v>2249</v>
      </c>
      <c r="E19" s="83" t="s">
        <v>2229</v>
      </c>
    </row>
    <row r="20">
      <c r="B20" s="83" t="s">
        <v>48</v>
      </c>
      <c r="C20" s="83" t="s">
        <v>2250</v>
      </c>
      <c r="E20" s="83" t="s">
        <v>2229</v>
      </c>
    </row>
    <row r="21">
      <c r="B21" s="83" t="s">
        <v>2214</v>
      </c>
      <c r="C21" s="83" t="s">
        <v>2251</v>
      </c>
      <c r="E21" s="83" t="s">
        <v>2229</v>
      </c>
    </row>
    <row r="22">
      <c r="B22" s="83" t="s">
        <v>2252</v>
      </c>
      <c r="C22" s="83" t="s">
        <v>2253</v>
      </c>
      <c r="E22" s="83" t="s">
        <v>2229</v>
      </c>
    </row>
    <row r="23">
      <c r="B23" s="83" t="s">
        <v>2254</v>
      </c>
      <c r="C23" s="83" t="s">
        <v>2255</v>
      </c>
      <c r="E23" s="83" t="s">
        <v>2229</v>
      </c>
    </row>
    <row r="24">
      <c r="A24" s="83" t="s">
        <v>2256</v>
      </c>
      <c r="B24" s="83" t="s">
        <v>152</v>
      </c>
      <c r="C24" s="83" t="s">
        <v>2257</v>
      </c>
      <c r="E24" s="83" t="s">
        <v>2229</v>
      </c>
    </row>
    <row r="25">
      <c r="B25" s="83" t="s">
        <v>187</v>
      </c>
      <c r="C25" s="83" t="s">
        <v>2258</v>
      </c>
      <c r="E25" s="83" t="s">
        <v>2229</v>
      </c>
    </row>
    <row r="26">
      <c r="B26" s="83" t="s">
        <v>549</v>
      </c>
      <c r="C26" s="83" t="s">
        <v>2259</v>
      </c>
      <c r="E26" s="83" t="s">
        <v>2229</v>
      </c>
    </row>
    <row r="27">
      <c r="B27" s="83" t="s">
        <v>39</v>
      </c>
      <c r="C27" s="83" t="s">
        <v>2260</v>
      </c>
      <c r="E27" s="83" t="s">
        <v>2229</v>
      </c>
    </row>
    <row r="28">
      <c r="B28" s="83" t="s">
        <v>239</v>
      </c>
      <c r="C28" s="83" t="s">
        <v>2261</v>
      </c>
      <c r="E28" s="83" t="s">
        <v>2229</v>
      </c>
    </row>
    <row r="29">
      <c r="B29" s="83" t="s">
        <v>29</v>
      </c>
      <c r="C29" s="83" t="s">
        <v>2262</v>
      </c>
      <c r="E29" s="83" t="s">
        <v>2229</v>
      </c>
    </row>
    <row r="30">
      <c r="B30" s="83" t="s">
        <v>425</v>
      </c>
      <c r="C30" s="83" t="s">
        <v>2263</v>
      </c>
      <c r="E30" s="83" t="s">
        <v>2229</v>
      </c>
    </row>
    <row r="31">
      <c r="B31" s="83" t="s">
        <v>361</v>
      </c>
      <c r="C31" s="83" t="s">
        <v>2264</v>
      </c>
      <c r="E31" s="83" t="s">
        <v>2229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5.75" customHeight="1">
      <c r="B1" s="11" t="s">
        <v>2</v>
      </c>
    </row>
    <row r="2" ht="15.75" customHeight="1">
      <c r="A2" s="11" t="s">
        <v>1116</v>
      </c>
      <c r="B2" s="47" t="s">
        <v>1118</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sheetData>
    <row r="1" ht="15.75" customHeight="1">
      <c r="A1" s="2" t="s">
        <v>0</v>
      </c>
      <c r="B1" s="2" t="s">
        <v>2265</v>
      </c>
      <c r="C1" s="2" t="s">
        <v>2266</v>
      </c>
      <c r="D1" s="1" t="s">
        <v>2</v>
      </c>
      <c r="E1" s="2" t="s">
        <v>11</v>
      </c>
      <c r="F1" s="2" t="s">
        <v>2267</v>
      </c>
      <c r="G1" s="2" t="s">
        <v>2268</v>
      </c>
      <c r="H1" s="2" t="s">
        <v>2269</v>
      </c>
      <c r="I1" s="1" t="s">
        <v>2270</v>
      </c>
      <c r="J1" s="1" t="s">
        <v>2271</v>
      </c>
      <c r="K1" s="2" t="s">
        <v>2272</v>
      </c>
      <c r="L1" s="2" t="s">
        <v>2273</v>
      </c>
      <c r="M1" s="2" t="s">
        <v>2274</v>
      </c>
      <c r="N1" s="2" t="s">
        <v>2275</v>
      </c>
      <c r="O1" s="2" t="s">
        <v>2276</v>
      </c>
      <c r="P1" s="2" t="s">
        <v>2277</v>
      </c>
      <c r="Q1" s="2" t="s">
        <v>2278</v>
      </c>
      <c r="R1" s="2" t="s">
        <v>2248</v>
      </c>
      <c r="S1" s="2" t="s">
        <v>2279</v>
      </c>
      <c r="T1" s="2" t="s">
        <v>116</v>
      </c>
      <c r="U1" s="2" t="s">
        <v>2280</v>
      </c>
      <c r="V1" s="2" t="s">
        <v>2281</v>
      </c>
      <c r="W1" s="2" t="s">
        <v>2282</v>
      </c>
      <c r="X1" s="2" t="s">
        <v>2283</v>
      </c>
      <c r="Y1" s="2" t="s">
        <v>2284</v>
      </c>
      <c r="Z1" s="2" t="s">
        <v>2285</v>
      </c>
      <c r="AA1" s="2" t="s">
        <v>2286</v>
      </c>
      <c r="AB1" s="2" t="s">
        <v>2256</v>
      </c>
      <c r="AD1" s="2"/>
      <c r="AE1" s="2" t="s">
        <v>2287</v>
      </c>
      <c r="AF1" s="2"/>
      <c r="AG1" s="2"/>
      <c r="AH1" s="2"/>
      <c r="AI1" s="2"/>
      <c r="AJ1" s="2"/>
      <c r="AK1" s="2"/>
      <c r="AL1" s="2"/>
      <c r="AM1" s="2"/>
      <c r="AN1" s="2"/>
      <c r="AO1" s="2"/>
      <c r="AP1" s="2"/>
      <c r="AQ1" s="2"/>
      <c r="AR1" s="2"/>
      <c r="AS1" s="2"/>
      <c r="AT1" s="2"/>
      <c r="AU1" s="2"/>
      <c r="AV1" s="2"/>
    </row>
    <row r="2" ht="15.75" customHeight="1">
      <c r="A2" s="11" t="s">
        <v>2288</v>
      </c>
      <c r="B2" s="84" t="s">
        <v>2289</v>
      </c>
      <c r="C2" s="11">
        <v>2016.0</v>
      </c>
      <c r="D2" s="85" t="s">
        <v>2290</v>
      </c>
      <c r="E2" s="11" t="s">
        <v>2291</v>
      </c>
      <c r="F2" s="11" t="s">
        <v>2292</v>
      </c>
      <c r="G2" s="86">
        <v>43630.0</v>
      </c>
      <c r="H2" s="11" t="s">
        <v>2293</v>
      </c>
      <c r="I2" s="85" t="s">
        <v>2294</v>
      </c>
      <c r="J2" s="85" t="s">
        <v>2295</v>
      </c>
      <c r="K2" s="11"/>
      <c r="L2" s="31"/>
      <c r="M2" s="31"/>
      <c r="N2" s="31"/>
      <c r="O2" s="31"/>
      <c r="P2" s="31"/>
      <c r="Q2" s="31"/>
      <c r="R2" s="31"/>
      <c r="S2" s="31"/>
      <c r="T2" s="31"/>
      <c r="U2" s="31"/>
      <c r="V2" s="31"/>
      <c r="W2" s="31"/>
      <c r="X2" s="31"/>
      <c r="Y2" s="31"/>
      <c r="Z2" s="85" t="s">
        <v>2290</v>
      </c>
      <c r="AA2" s="31"/>
      <c r="AB2" s="11"/>
    </row>
    <row r="3" ht="15.75" customHeight="1">
      <c r="A3" s="11" t="s">
        <v>2296</v>
      </c>
      <c r="B3" s="84" t="s">
        <v>2289</v>
      </c>
      <c r="C3" s="11">
        <v>2007.0</v>
      </c>
      <c r="D3" s="85" t="s">
        <v>2297</v>
      </c>
      <c r="E3" s="11" t="s">
        <v>2291</v>
      </c>
      <c r="F3" s="11" t="s">
        <v>2292</v>
      </c>
      <c r="G3" s="86">
        <v>43630.0</v>
      </c>
      <c r="H3" s="11" t="s">
        <v>2298</v>
      </c>
      <c r="I3" s="85" t="s">
        <v>2299</v>
      </c>
      <c r="J3" s="85" t="s">
        <v>2300</v>
      </c>
      <c r="K3" s="11" t="s">
        <v>2301</v>
      </c>
      <c r="L3" s="31"/>
      <c r="M3" s="31"/>
      <c r="N3" s="31"/>
      <c r="O3" s="31"/>
      <c r="P3" s="31"/>
      <c r="Q3" s="31"/>
      <c r="R3" s="31"/>
      <c r="S3" s="31"/>
      <c r="T3" s="31"/>
      <c r="U3" s="31"/>
      <c r="V3" s="31"/>
      <c r="W3" s="31"/>
      <c r="X3" s="31"/>
      <c r="Y3" s="31"/>
      <c r="Z3" s="85" t="s">
        <v>2297</v>
      </c>
      <c r="AA3" s="31"/>
    </row>
    <row r="4" ht="15.75" customHeight="1">
      <c r="A4" s="11" t="s">
        <v>2302</v>
      </c>
      <c r="B4" s="84" t="s">
        <v>2289</v>
      </c>
      <c r="C4" s="11">
        <v>2005.0</v>
      </c>
      <c r="D4" s="85" t="s">
        <v>2303</v>
      </c>
      <c r="E4" s="11" t="s">
        <v>2291</v>
      </c>
      <c r="F4" s="11" t="s">
        <v>2292</v>
      </c>
      <c r="G4" s="86">
        <v>43630.0</v>
      </c>
      <c r="H4" s="11" t="s">
        <v>2304</v>
      </c>
      <c r="I4" s="85" t="s">
        <v>2305</v>
      </c>
      <c r="J4" s="85" t="s">
        <v>2306</v>
      </c>
      <c r="K4" s="11" t="s">
        <v>2307</v>
      </c>
      <c r="L4" s="31"/>
      <c r="M4" s="31"/>
      <c r="N4" s="31"/>
      <c r="O4" s="31"/>
      <c r="P4" s="31"/>
      <c r="Q4" s="31"/>
      <c r="R4" s="85" t="s">
        <v>2308</v>
      </c>
      <c r="S4" s="31"/>
      <c r="T4" s="31"/>
      <c r="U4" s="31"/>
      <c r="V4" s="31"/>
      <c r="W4" s="31"/>
      <c r="X4" s="31"/>
      <c r="Y4" s="31"/>
      <c r="Z4" s="31"/>
      <c r="AA4" s="31"/>
      <c r="AB4" s="11" t="s">
        <v>2248</v>
      </c>
    </row>
    <row r="5" ht="15.75" customHeight="1">
      <c r="A5" s="11" t="s">
        <v>2309</v>
      </c>
      <c r="B5" s="84" t="s">
        <v>2289</v>
      </c>
      <c r="C5" s="11">
        <v>1997.0</v>
      </c>
      <c r="D5" s="85" t="s">
        <v>2310</v>
      </c>
      <c r="E5" s="11" t="s">
        <v>2311</v>
      </c>
      <c r="F5" s="11" t="s">
        <v>2292</v>
      </c>
      <c r="G5" s="86">
        <v>43630.0</v>
      </c>
      <c r="H5" s="11" t="s">
        <v>2312</v>
      </c>
      <c r="I5" s="85" t="s">
        <v>2313</v>
      </c>
      <c r="J5" s="85" t="s">
        <v>2314</v>
      </c>
      <c r="L5" s="31"/>
      <c r="M5" s="31"/>
      <c r="N5" s="31"/>
      <c r="O5" s="31"/>
      <c r="P5" s="31"/>
      <c r="Q5" s="31"/>
      <c r="R5" s="31"/>
      <c r="S5" s="31"/>
      <c r="T5" s="31"/>
      <c r="U5" s="31"/>
      <c r="V5" s="31"/>
      <c r="W5" s="31"/>
      <c r="X5" s="31"/>
      <c r="Y5" s="85" t="s">
        <v>2310</v>
      </c>
      <c r="Z5" s="31"/>
      <c r="AA5" s="31"/>
    </row>
    <row r="6" ht="15.75" customHeight="1">
      <c r="A6" s="11" t="s">
        <v>2315</v>
      </c>
      <c r="B6" s="84" t="s">
        <v>2289</v>
      </c>
      <c r="C6" s="11">
        <v>2007.0</v>
      </c>
      <c r="D6" s="85" t="s">
        <v>2316</v>
      </c>
      <c r="E6" s="11" t="s">
        <v>2291</v>
      </c>
      <c r="F6" s="11" t="s">
        <v>2292</v>
      </c>
      <c r="G6" s="86">
        <v>43631.0</v>
      </c>
      <c r="H6" s="11" t="s">
        <v>2317</v>
      </c>
      <c r="I6" s="85" t="s">
        <v>2318</v>
      </c>
      <c r="J6" s="85" t="s">
        <v>2319</v>
      </c>
      <c r="K6" s="11" t="s">
        <v>2301</v>
      </c>
      <c r="L6" s="85" t="s">
        <v>2316</v>
      </c>
      <c r="M6" s="31"/>
      <c r="N6" s="31"/>
      <c r="O6" s="31"/>
      <c r="P6" s="31"/>
      <c r="Q6" s="31"/>
      <c r="R6" s="31"/>
      <c r="S6" s="31"/>
      <c r="T6" s="31"/>
      <c r="U6" s="31"/>
      <c r="V6" s="31"/>
      <c r="W6" s="31"/>
      <c r="X6" s="31"/>
      <c r="Y6" s="31"/>
      <c r="Z6" s="31"/>
      <c r="AA6" s="31"/>
      <c r="AB6" s="11" t="s">
        <v>2320</v>
      </c>
    </row>
    <row r="7" ht="15.75" customHeight="1">
      <c r="A7" s="11" t="s">
        <v>2321</v>
      </c>
      <c r="B7" s="84" t="s">
        <v>2289</v>
      </c>
      <c r="C7" s="11">
        <v>2012.0</v>
      </c>
      <c r="D7" s="85" t="s">
        <v>2322</v>
      </c>
      <c r="E7" s="11" t="s">
        <v>2291</v>
      </c>
      <c r="F7" s="11" t="s">
        <v>2292</v>
      </c>
      <c r="G7" s="86">
        <v>43632.0</v>
      </c>
      <c r="H7" s="11" t="s">
        <v>2323</v>
      </c>
      <c r="I7" s="85" t="s">
        <v>2324</v>
      </c>
      <c r="J7" s="31"/>
      <c r="K7" s="11" t="s">
        <v>2301</v>
      </c>
      <c r="L7" s="31"/>
      <c r="M7" s="31"/>
      <c r="N7" s="31"/>
      <c r="O7" s="31"/>
      <c r="P7" s="31"/>
      <c r="Q7" s="31"/>
      <c r="R7" s="31"/>
      <c r="S7" s="31"/>
      <c r="T7" s="85" t="s">
        <v>2325</v>
      </c>
      <c r="U7" s="31"/>
      <c r="V7" s="85" t="s">
        <v>2325</v>
      </c>
      <c r="W7" s="31"/>
      <c r="X7" s="31"/>
      <c r="Y7" s="31"/>
      <c r="Z7" s="31"/>
      <c r="AA7" s="31"/>
      <c r="AB7" s="11" t="s">
        <v>2326</v>
      </c>
    </row>
    <row r="8" ht="15.75" customHeight="1">
      <c r="A8" s="11" t="s">
        <v>2327</v>
      </c>
      <c r="B8" s="84" t="s">
        <v>2289</v>
      </c>
      <c r="C8" s="11">
        <v>2013.0</v>
      </c>
      <c r="D8" s="47" t="s">
        <v>2328</v>
      </c>
      <c r="E8" s="11" t="s">
        <v>2329</v>
      </c>
      <c r="F8" s="11" t="s">
        <v>2292</v>
      </c>
      <c r="G8" s="86">
        <v>43632.0</v>
      </c>
      <c r="H8" s="11" t="s">
        <v>2330</v>
      </c>
      <c r="I8" s="85" t="s">
        <v>2331</v>
      </c>
      <c r="J8" s="31"/>
      <c r="L8" s="31"/>
      <c r="M8" s="31"/>
      <c r="N8" s="85" t="s">
        <v>2328</v>
      </c>
      <c r="O8" s="31"/>
      <c r="P8" s="31"/>
      <c r="Q8" s="31"/>
      <c r="R8" s="31"/>
      <c r="S8" s="31"/>
      <c r="T8" s="31"/>
      <c r="U8" s="31"/>
      <c r="V8" s="31"/>
      <c r="W8" s="31"/>
      <c r="X8" s="31"/>
      <c r="Y8" s="31"/>
      <c r="Z8" s="31"/>
      <c r="AA8" s="31"/>
    </row>
    <row r="9" ht="15.75" customHeight="1">
      <c r="A9" s="11" t="s">
        <v>2332</v>
      </c>
      <c r="B9" s="84" t="s">
        <v>2289</v>
      </c>
      <c r="C9" s="11">
        <v>2011.0</v>
      </c>
      <c r="D9" s="85" t="s">
        <v>2333</v>
      </c>
      <c r="E9" s="11" t="s">
        <v>2291</v>
      </c>
      <c r="F9" s="11" t="s">
        <v>2292</v>
      </c>
      <c r="G9" s="86">
        <v>43632.0</v>
      </c>
      <c r="H9" s="11" t="s">
        <v>2334</v>
      </c>
      <c r="I9" s="85" t="s">
        <v>2335</v>
      </c>
      <c r="J9" s="31"/>
      <c r="L9" s="31"/>
      <c r="M9" s="31"/>
      <c r="N9" s="31"/>
      <c r="O9" s="31"/>
      <c r="P9" s="31"/>
      <c r="Q9" s="31"/>
      <c r="R9" s="85" t="s">
        <v>2333</v>
      </c>
      <c r="S9" s="31"/>
      <c r="T9" s="31"/>
      <c r="U9" s="31"/>
      <c r="V9" s="31"/>
      <c r="W9" s="31"/>
      <c r="X9" s="31"/>
      <c r="Y9" s="31"/>
      <c r="Z9" s="31"/>
      <c r="AA9" s="31"/>
      <c r="AB9" s="11" t="s">
        <v>2248</v>
      </c>
    </row>
    <row r="10" ht="15.75" customHeight="1">
      <c r="A10" s="11" t="s">
        <v>2336</v>
      </c>
      <c r="B10" s="84" t="s">
        <v>2289</v>
      </c>
      <c r="C10" s="11">
        <v>1996.0</v>
      </c>
      <c r="D10" s="87" t="s">
        <v>2337</v>
      </c>
      <c r="E10" s="11" t="s">
        <v>2329</v>
      </c>
      <c r="F10" s="11" t="s">
        <v>2292</v>
      </c>
      <c r="G10" s="86">
        <v>43632.0</v>
      </c>
      <c r="H10" s="11" t="s">
        <v>2338</v>
      </c>
      <c r="I10" s="85" t="s">
        <v>2339</v>
      </c>
      <c r="J10" s="31"/>
      <c r="L10" s="31"/>
      <c r="M10" s="31"/>
      <c r="N10" s="31"/>
      <c r="O10" s="31"/>
      <c r="P10" s="31"/>
      <c r="Q10" s="31"/>
      <c r="R10" s="31"/>
      <c r="S10" s="31"/>
      <c r="T10" s="31"/>
      <c r="U10" s="31"/>
      <c r="V10" s="31"/>
      <c r="W10" s="31"/>
      <c r="X10" s="31"/>
      <c r="Y10" s="31"/>
      <c r="Z10" s="31"/>
      <c r="AA10" s="85" t="s">
        <v>2337</v>
      </c>
    </row>
    <row r="11" ht="15.75" customHeight="1">
      <c r="A11" s="11" t="s">
        <v>2340</v>
      </c>
      <c r="B11" s="84" t="s">
        <v>2289</v>
      </c>
      <c r="C11" s="11">
        <v>2012.0</v>
      </c>
      <c r="D11" s="47" t="s">
        <v>2341</v>
      </c>
      <c r="E11" s="11"/>
      <c r="F11" s="11"/>
      <c r="I11" s="31"/>
      <c r="J11" s="31"/>
      <c r="L11" s="31"/>
      <c r="M11" s="31"/>
      <c r="N11" s="31"/>
      <c r="O11" s="31"/>
      <c r="P11" s="31"/>
      <c r="Q11" s="31"/>
      <c r="R11" s="31"/>
      <c r="S11" s="31"/>
      <c r="T11" s="31"/>
      <c r="U11" s="31"/>
      <c r="V11" s="31"/>
      <c r="W11" s="31"/>
      <c r="X11" s="31"/>
      <c r="Y11" s="31"/>
      <c r="Z11" s="31"/>
      <c r="AA11" s="31"/>
      <c r="AB11" s="11" t="s">
        <v>2342</v>
      </c>
    </row>
    <row r="12" ht="15.75" customHeight="1">
      <c r="A12" s="11" t="s">
        <v>2343</v>
      </c>
      <c r="B12" s="84" t="s">
        <v>2289</v>
      </c>
      <c r="D12" s="47" t="s">
        <v>2344</v>
      </c>
      <c r="E12" s="11" t="s">
        <v>2311</v>
      </c>
      <c r="F12" s="11"/>
      <c r="I12" s="31"/>
      <c r="J12" s="31"/>
      <c r="L12" s="31"/>
      <c r="M12" s="31"/>
      <c r="N12" s="31"/>
      <c r="O12" s="31"/>
      <c r="P12" s="31"/>
      <c r="Q12" s="31"/>
      <c r="R12" s="31"/>
      <c r="S12" s="31"/>
      <c r="T12" s="31"/>
      <c r="U12" s="31"/>
      <c r="V12" s="31"/>
      <c r="W12" s="31"/>
      <c r="X12" s="31"/>
      <c r="Y12" s="31"/>
      <c r="Z12" s="31"/>
      <c r="AA12" s="31"/>
      <c r="AB12" s="11" t="s">
        <v>2342</v>
      </c>
    </row>
    <row r="13" ht="15.75" customHeight="1">
      <c r="A13" s="11" t="s">
        <v>2345</v>
      </c>
      <c r="B13" s="84" t="s">
        <v>2289</v>
      </c>
      <c r="D13" s="47" t="s">
        <v>2346</v>
      </c>
      <c r="E13" s="11"/>
      <c r="F13" s="11"/>
      <c r="I13" s="31"/>
      <c r="J13" s="31"/>
      <c r="L13" s="31"/>
      <c r="M13" s="31"/>
      <c r="N13" s="31"/>
      <c r="O13" s="31"/>
      <c r="P13" s="31"/>
      <c r="Q13" s="31"/>
      <c r="R13" s="31"/>
      <c r="S13" s="31"/>
      <c r="T13" s="31"/>
      <c r="U13" s="31"/>
      <c r="V13" s="31"/>
      <c r="W13" s="31"/>
      <c r="X13" s="31"/>
      <c r="Y13" s="31"/>
      <c r="Z13" s="31"/>
      <c r="AA13" s="31"/>
      <c r="AB13" s="11" t="s">
        <v>2347</v>
      </c>
      <c r="AC13" s="11" t="s">
        <v>2348</v>
      </c>
    </row>
    <row r="14" ht="15.75" customHeight="1">
      <c r="A14" s="11" t="s">
        <v>2349</v>
      </c>
      <c r="B14" s="84" t="s">
        <v>2289</v>
      </c>
      <c r="D14" s="47" t="s">
        <v>2350</v>
      </c>
      <c r="E14" s="11"/>
      <c r="F14" s="11"/>
      <c r="I14" s="31"/>
      <c r="J14" s="31"/>
      <c r="L14" s="31"/>
      <c r="M14" s="31"/>
      <c r="N14" s="31"/>
      <c r="O14" s="31"/>
      <c r="P14" s="31"/>
      <c r="Q14" s="31"/>
      <c r="R14" s="31"/>
      <c r="S14" s="31"/>
      <c r="T14" s="31"/>
      <c r="U14" s="31"/>
      <c r="V14" s="31"/>
      <c r="W14" s="31"/>
      <c r="X14" s="31"/>
      <c r="Y14" s="31"/>
      <c r="Z14" s="31"/>
      <c r="AA14" s="31"/>
      <c r="AB14" s="11" t="s">
        <v>2351</v>
      </c>
    </row>
    <row r="15" ht="15.75" customHeight="1">
      <c r="A15" s="11" t="s">
        <v>2352</v>
      </c>
      <c r="B15" s="84" t="s">
        <v>2289</v>
      </c>
      <c r="D15" s="47" t="s">
        <v>2353</v>
      </c>
      <c r="E15" s="11" t="s">
        <v>2311</v>
      </c>
      <c r="F15" s="11"/>
      <c r="I15" s="31"/>
      <c r="J15" s="31"/>
      <c r="L15" s="31"/>
      <c r="M15" s="31"/>
      <c r="N15" s="31"/>
      <c r="O15" s="31"/>
      <c r="P15" s="31"/>
      <c r="Q15" s="31"/>
      <c r="R15" s="31"/>
      <c r="S15" s="31"/>
      <c r="T15" s="31"/>
      <c r="U15" s="31"/>
      <c r="V15" s="31"/>
      <c r="W15" s="31"/>
      <c r="X15" s="31"/>
      <c r="Y15" s="31"/>
      <c r="Z15" s="31"/>
      <c r="AA15" s="31"/>
      <c r="AB15" s="11" t="s">
        <v>2354</v>
      </c>
    </row>
    <row r="16" ht="15.75" customHeight="1">
      <c r="A16" s="11" t="s">
        <v>2355</v>
      </c>
      <c r="B16" s="84" t="s">
        <v>2356</v>
      </c>
      <c r="C16" s="11">
        <v>2011.0</v>
      </c>
      <c r="D16" s="85" t="s">
        <v>2357</v>
      </c>
      <c r="E16" s="11"/>
      <c r="F16" s="11"/>
      <c r="I16" s="31"/>
      <c r="J16" s="31"/>
      <c r="K16" s="11" t="s">
        <v>2358</v>
      </c>
      <c r="L16" s="31"/>
      <c r="M16" s="31"/>
      <c r="N16" s="31"/>
      <c r="O16" s="31"/>
      <c r="P16" s="31"/>
      <c r="Q16" s="31"/>
      <c r="R16" s="31"/>
      <c r="S16" s="31"/>
      <c r="T16" s="31"/>
      <c r="U16" s="31"/>
      <c r="V16" s="31"/>
      <c r="W16" s="31"/>
      <c r="X16" s="31"/>
      <c r="Y16" s="31"/>
      <c r="Z16" s="31"/>
      <c r="AA16" s="31"/>
    </row>
    <row r="17" ht="15.75" customHeight="1">
      <c r="A17" s="11" t="s">
        <v>2359</v>
      </c>
      <c r="B17" s="84" t="s">
        <v>2356</v>
      </c>
      <c r="C17" s="11">
        <v>2013.0</v>
      </c>
      <c r="D17" s="85" t="s">
        <v>2360</v>
      </c>
      <c r="E17" s="11" t="s">
        <v>2311</v>
      </c>
      <c r="F17" s="11"/>
      <c r="G17" s="88">
        <v>43779.0</v>
      </c>
      <c r="H17" s="11" t="s">
        <v>2361</v>
      </c>
      <c r="I17" s="85" t="s">
        <v>2362</v>
      </c>
      <c r="J17" s="31"/>
      <c r="K17" s="11"/>
      <c r="L17" s="31"/>
      <c r="M17" s="31"/>
      <c r="N17" s="31"/>
      <c r="O17" s="31"/>
      <c r="P17" s="31"/>
      <c r="Q17" s="31"/>
      <c r="R17" s="31"/>
      <c r="S17" s="31"/>
      <c r="T17" s="85" t="s">
        <v>2360</v>
      </c>
      <c r="U17" s="31"/>
      <c r="V17" s="31"/>
      <c r="W17" s="31"/>
      <c r="X17" s="31"/>
      <c r="Y17" s="31"/>
      <c r="Z17" s="31"/>
      <c r="AA17" s="31"/>
      <c r="AB17" s="11" t="s">
        <v>2363</v>
      </c>
      <c r="AE17" s="11" t="s">
        <v>2364</v>
      </c>
    </row>
    <row r="18" ht="15.75" customHeight="1">
      <c r="A18" s="11" t="s">
        <v>2365</v>
      </c>
      <c r="B18" s="84" t="s">
        <v>2356</v>
      </c>
      <c r="D18" s="85" t="s">
        <v>2366</v>
      </c>
      <c r="E18" s="11"/>
      <c r="F18" s="11"/>
      <c r="G18" s="11"/>
      <c r="H18" s="11"/>
      <c r="I18" s="31"/>
      <c r="J18" s="31"/>
      <c r="K18" s="11"/>
      <c r="L18" s="31"/>
      <c r="M18" s="31"/>
      <c r="N18" s="31"/>
      <c r="O18" s="31"/>
      <c r="P18" s="31"/>
      <c r="Q18" s="31"/>
      <c r="R18" s="31"/>
      <c r="S18" s="31"/>
      <c r="T18" s="31"/>
      <c r="U18" s="31"/>
      <c r="V18" s="31"/>
      <c r="W18" s="31"/>
      <c r="X18" s="31"/>
      <c r="Y18" s="31"/>
      <c r="Z18" s="31"/>
      <c r="AA18" s="31"/>
      <c r="AB18" s="11" t="s">
        <v>172</v>
      </c>
      <c r="AE18" s="11" t="s">
        <v>2367</v>
      </c>
    </row>
    <row r="19" ht="15.75" customHeight="1">
      <c r="A19" s="11" t="s">
        <v>2368</v>
      </c>
      <c r="B19" s="84" t="s">
        <v>2356</v>
      </c>
      <c r="D19" s="85" t="s">
        <v>2369</v>
      </c>
      <c r="E19" s="11"/>
      <c r="F19" s="11"/>
      <c r="I19" s="31"/>
      <c r="J19" s="85" t="s">
        <v>2370</v>
      </c>
      <c r="L19" s="31"/>
      <c r="M19" s="31"/>
      <c r="N19" s="31"/>
      <c r="O19" s="31"/>
      <c r="P19" s="31"/>
      <c r="Q19" s="31"/>
      <c r="R19" s="31"/>
      <c r="S19" s="31"/>
      <c r="T19" s="31"/>
      <c r="U19" s="31"/>
      <c r="V19" s="31"/>
      <c r="W19" s="31"/>
      <c r="X19" s="31"/>
      <c r="Y19" s="31"/>
      <c r="Z19" s="31"/>
      <c r="AA19" s="31"/>
      <c r="AE19" s="11" t="s">
        <v>2371</v>
      </c>
    </row>
    <row r="20" ht="15.75" customHeight="1">
      <c r="A20" s="11" t="s">
        <v>2372</v>
      </c>
      <c r="B20" s="84" t="s">
        <v>2356</v>
      </c>
      <c r="D20" s="85" t="s">
        <v>2373</v>
      </c>
      <c r="E20" s="11"/>
      <c r="F20" s="11"/>
      <c r="G20" s="11"/>
      <c r="H20" s="11"/>
      <c r="I20" s="31"/>
      <c r="J20" s="31"/>
      <c r="K20" s="11"/>
      <c r="L20" s="31"/>
      <c r="M20" s="31"/>
      <c r="N20" s="31"/>
      <c r="O20" s="31"/>
      <c r="P20" s="31"/>
      <c r="Q20" s="31"/>
      <c r="R20" s="31"/>
      <c r="S20" s="31"/>
      <c r="T20" s="31"/>
      <c r="U20" s="31"/>
      <c r="V20" s="31"/>
      <c r="W20" s="31"/>
      <c r="X20" s="31"/>
      <c r="Y20" s="31"/>
      <c r="Z20" s="31"/>
      <c r="AA20" s="31"/>
      <c r="AB20" s="11" t="s">
        <v>2363</v>
      </c>
      <c r="AE20" s="11" t="s">
        <v>2364</v>
      </c>
    </row>
    <row r="21" ht="15.75" customHeight="1">
      <c r="A21" s="11" t="s">
        <v>2374</v>
      </c>
      <c r="B21" s="84" t="s">
        <v>2356</v>
      </c>
      <c r="D21" s="85" t="s">
        <v>2375</v>
      </c>
      <c r="E21" s="11"/>
      <c r="F21" s="11"/>
      <c r="I21" s="31"/>
      <c r="J21" s="31"/>
      <c r="L21" s="31"/>
      <c r="M21" s="31"/>
      <c r="N21" s="31"/>
      <c r="O21" s="31"/>
      <c r="P21" s="31"/>
      <c r="Q21" s="31"/>
      <c r="R21" s="31"/>
      <c r="S21" s="31"/>
      <c r="T21" s="31"/>
      <c r="U21" s="31"/>
      <c r="V21" s="31"/>
      <c r="W21" s="31"/>
      <c r="X21" s="31"/>
      <c r="Y21" s="31"/>
      <c r="Z21" s="31"/>
      <c r="AA21" s="31"/>
      <c r="AB21" s="11" t="s">
        <v>2376</v>
      </c>
    </row>
    <row r="22" ht="15.75" customHeight="1">
      <c r="A22" s="11" t="s">
        <v>2377</v>
      </c>
      <c r="B22" s="84" t="s">
        <v>2356</v>
      </c>
      <c r="D22" s="85" t="s">
        <v>2378</v>
      </c>
      <c r="E22" s="11"/>
      <c r="F22" s="11"/>
      <c r="I22" s="31"/>
      <c r="J22" s="31"/>
      <c r="L22" s="31"/>
      <c r="M22" s="31"/>
      <c r="N22" s="31"/>
      <c r="O22" s="31"/>
      <c r="P22" s="31"/>
      <c r="Q22" s="31"/>
      <c r="R22" s="31"/>
      <c r="S22" s="31"/>
      <c r="T22" s="31"/>
      <c r="U22" s="31"/>
      <c r="V22" s="31"/>
      <c r="W22" s="31"/>
      <c r="X22" s="31"/>
      <c r="Y22" s="31"/>
      <c r="Z22" s="31"/>
      <c r="AA22" s="31"/>
    </row>
    <row r="23" ht="15.75" customHeight="1">
      <c r="A23" s="11" t="s">
        <v>2379</v>
      </c>
      <c r="B23" s="84" t="s">
        <v>2356</v>
      </c>
      <c r="D23" s="85" t="s">
        <v>2380</v>
      </c>
      <c r="E23" s="11"/>
      <c r="F23" s="11"/>
      <c r="I23" s="31"/>
      <c r="J23" s="31"/>
      <c r="L23" s="31"/>
      <c r="M23" s="31"/>
      <c r="N23" s="31"/>
      <c r="O23" s="31"/>
      <c r="P23" s="31"/>
      <c r="Q23" s="31"/>
      <c r="R23" s="31"/>
      <c r="S23" s="31"/>
      <c r="T23" s="31"/>
      <c r="U23" s="31"/>
      <c r="V23" s="31"/>
      <c r="W23" s="31"/>
      <c r="X23" s="31"/>
      <c r="Y23" s="31"/>
      <c r="Z23" s="31"/>
      <c r="AA23" s="31"/>
      <c r="AB23" s="11" t="s">
        <v>2381</v>
      </c>
    </row>
    <row r="24" ht="15.75" customHeight="1">
      <c r="A24" s="11" t="s">
        <v>2382</v>
      </c>
      <c r="B24" s="84" t="s">
        <v>2356</v>
      </c>
      <c r="C24" s="11">
        <v>2015.0</v>
      </c>
      <c r="D24" s="47" t="s">
        <v>2383</v>
      </c>
      <c r="E24" s="11"/>
      <c r="F24" s="86"/>
      <c r="G24" s="86">
        <v>43608.0</v>
      </c>
      <c r="H24" s="11" t="s">
        <v>2384</v>
      </c>
      <c r="I24" s="85" t="s">
        <v>2385</v>
      </c>
      <c r="J24" s="85" t="s">
        <v>2386</v>
      </c>
      <c r="K24" s="11" t="s">
        <v>116</v>
      </c>
      <c r="L24" s="31"/>
      <c r="M24" s="31"/>
      <c r="N24" s="31"/>
      <c r="O24" s="31"/>
      <c r="P24" s="31"/>
      <c r="Q24" s="31"/>
      <c r="R24" s="31"/>
      <c r="S24" s="31"/>
      <c r="T24" s="31"/>
      <c r="U24" s="31"/>
      <c r="V24" s="31"/>
      <c r="W24" s="31"/>
      <c r="X24" s="31"/>
      <c r="Y24" s="31"/>
      <c r="Z24" s="31"/>
      <c r="AA24" s="31"/>
      <c r="AB24" s="11" t="s">
        <v>2387</v>
      </c>
    </row>
    <row r="25" ht="15.75" customHeight="1">
      <c r="A25" s="11" t="s">
        <v>2388</v>
      </c>
      <c r="B25" s="84" t="s">
        <v>2356</v>
      </c>
      <c r="D25" s="47" t="s">
        <v>2389</v>
      </c>
      <c r="E25" s="11"/>
      <c r="F25" s="11"/>
      <c r="I25" s="31"/>
      <c r="J25" s="31"/>
      <c r="K25" s="11" t="s">
        <v>116</v>
      </c>
      <c r="L25" s="31"/>
      <c r="M25" s="31"/>
      <c r="N25" s="31"/>
      <c r="O25" s="31"/>
      <c r="P25" s="31"/>
      <c r="Q25" s="31"/>
      <c r="R25" s="31"/>
      <c r="S25" s="31"/>
      <c r="T25" s="31"/>
      <c r="U25" s="31"/>
      <c r="V25" s="31"/>
      <c r="W25" s="31"/>
      <c r="X25" s="31"/>
      <c r="Y25" s="31"/>
      <c r="Z25" s="31"/>
      <c r="AA25" s="31"/>
      <c r="AB25" s="11" t="s">
        <v>2387</v>
      </c>
    </row>
    <row r="26" ht="15.75" customHeight="1">
      <c r="A26" s="11" t="s">
        <v>2390</v>
      </c>
      <c r="B26" s="84" t="s">
        <v>2356</v>
      </c>
      <c r="D26" s="47" t="s">
        <v>2391</v>
      </c>
      <c r="E26" s="11"/>
      <c r="F26" s="11"/>
      <c r="I26" s="31"/>
      <c r="J26" s="31"/>
      <c r="K26" s="11" t="s">
        <v>116</v>
      </c>
      <c r="L26" s="31"/>
      <c r="M26" s="31"/>
      <c r="N26" s="31"/>
      <c r="O26" s="31"/>
      <c r="P26" s="31"/>
      <c r="Q26" s="31"/>
      <c r="R26" s="31"/>
      <c r="S26" s="31"/>
      <c r="T26" s="31"/>
      <c r="U26" s="31"/>
      <c r="V26" s="31"/>
      <c r="W26" s="31"/>
      <c r="X26" s="31"/>
      <c r="Y26" s="31"/>
      <c r="Z26" s="31"/>
      <c r="AA26" s="31"/>
      <c r="AB26" s="11" t="s">
        <v>2363</v>
      </c>
    </row>
    <row r="27" ht="15.75" customHeight="1">
      <c r="A27" s="11" t="s">
        <v>2392</v>
      </c>
      <c r="B27" s="84" t="s">
        <v>2356</v>
      </c>
      <c r="D27" s="47" t="s">
        <v>2393</v>
      </c>
      <c r="E27" s="11"/>
      <c r="F27" s="11"/>
      <c r="I27" s="31"/>
      <c r="J27" s="31"/>
      <c r="K27" s="11" t="s">
        <v>116</v>
      </c>
      <c r="L27" s="31"/>
      <c r="M27" s="31"/>
      <c r="N27" s="31"/>
      <c r="O27" s="31"/>
      <c r="P27" s="31"/>
      <c r="Q27" s="31"/>
      <c r="R27" s="31"/>
      <c r="S27" s="31"/>
      <c r="T27" s="31"/>
      <c r="U27" s="31"/>
      <c r="V27" s="31"/>
      <c r="W27" s="31"/>
      <c r="X27" s="31"/>
      <c r="Y27" s="31"/>
      <c r="Z27" s="31"/>
      <c r="AA27" s="31"/>
      <c r="AB27" s="11" t="s">
        <v>2394</v>
      </c>
    </row>
    <row r="28" ht="15.75" customHeight="1">
      <c r="A28" s="11" t="s">
        <v>2395</v>
      </c>
      <c r="B28" s="84" t="s">
        <v>2356</v>
      </c>
      <c r="D28" s="47" t="s">
        <v>2396</v>
      </c>
      <c r="E28" s="11"/>
      <c r="F28" s="11"/>
      <c r="I28" s="31"/>
      <c r="J28" s="31"/>
      <c r="K28" s="11" t="s">
        <v>116</v>
      </c>
      <c r="L28" s="31"/>
      <c r="M28" s="31"/>
      <c r="N28" s="31"/>
      <c r="O28" s="31"/>
      <c r="P28" s="31"/>
      <c r="Q28" s="31"/>
      <c r="R28" s="31"/>
      <c r="S28" s="31"/>
      <c r="T28" s="31"/>
      <c r="U28" s="31"/>
      <c r="V28" s="31"/>
      <c r="W28" s="31"/>
      <c r="X28" s="31"/>
      <c r="Y28" s="31"/>
      <c r="Z28" s="31"/>
      <c r="AA28" s="31"/>
      <c r="AB28" s="11" t="s">
        <v>2397</v>
      </c>
    </row>
    <row r="29" ht="15.75" customHeight="1">
      <c r="A29" s="11" t="s">
        <v>2398</v>
      </c>
      <c r="B29" s="84" t="s">
        <v>2356</v>
      </c>
      <c r="D29" s="47" t="s">
        <v>2399</v>
      </c>
      <c r="E29" s="11"/>
      <c r="F29" s="11"/>
      <c r="I29" s="31"/>
      <c r="J29" s="31"/>
      <c r="L29" s="31"/>
      <c r="M29" s="31"/>
      <c r="N29" s="31"/>
      <c r="O29" s="31"/>
      <c r="P29" s="31"/>
      <c r="Q29" s="31"/>
      <c r="R29" s="31"/>
      <c r="S29" s="31"/>
      <c r="T29" s="31"/>
      <c r="U29" s="31"/>
      <c r="V29" s="31"/>
      <c r="W29" s="31"/>
      <c r="X29" s="31"/>
      <c r="Y29" s="31"/>
      <c r="Z29" s="31"/>
      <c r="AA29" s="31"/>
    </row>
    <row r="30" ht="15.75" customHeight="1">
      <c r="A30" s="11" t="s">
        <v>2400</v>
      </c>
      <c r="B30" s="84" t="s">
        <v>2356</v>
      </c>
      <c r="D30" s="47" t="s">
        <v>2401</v>
      </c>
      <c r="E30" s="11"/>
      <c r="F30" s="11"/>
      <c r="I30" s="31"/>
      <c r="J30" s="31"/>
      <c r="K30" s="11" t="s">
        <v>2402</v>
      </c>
      <c r="L30" s="31"/>
      <c r="M30" s="31"/>
      <c r="N30" s="31"/>
      <c r="O30" s="31"/>
      <c r="P30" s="31"/>
      <c r="Q30" s="31"/>
      <c r="R30" s="31"/>
      <c r="S30" s="31"/>
      <c r="T30" s="31"/>
      <c r="U30" s="31"/>
      <c r="V30" s="31"/>
      <c r="W30" s="31"/>
      <c r="X30" s="31"/>
      <c r="Y30" s="31"/>
      <c r="Z30" s="31"/>
      <c r="AA30" s="31"/>
      <c r="AB30" s="11" t="s">
        <v>2403</v>
      </c>
    </row>
    <row r="31" ht="15.75" customHeight="1">
      <c r="A31" s="11" t="s">
        <v>2404</v>
      </c>
      <c r="B31" s="84" t="s">
        <v>2356</v>
      </c>
      <c r="D31" s="87" t="s">
        <v>2405</v>
      </c>
      <c r="E31" s="11"/>
      <c r="F31" s="11"/>
      <c r="I31" s="31"/>
      <c r="J31" s="31"/>
      <c r="L31" s="31"/>
      <c r="M31" s="31"/>
      <c r="N31" s="31"/>
      <c r="O31" s="31"/>
      <c r="P31" s="31"/>
      <c r="Q31" s="31"/>
      <c r="R31" s="31"/>
      <c r="S31" s="31"/>
      <c r="T31" s="31"/>
      <c r="U31" s="31"/>
      <c r="V31" s="31"/>
      <c r="W31" s="31"/>
      <c r="X31" s="31"/>
      <c r="Y31" s="31"/>
      <c r="Z31" s="31"/>
      <c r="AA31" s="31"/>
      <c r="AB31" s="11" t="s">
        <v>2406</v>
      </c>
      <c r="AE31" s="47" t="s">
        <v>2407</v>
      </c>
    </row>
    <row r="32" ht="15.75" customHeight="1">
      <c r="A32" s="11" t="s">
        <v>2408</v>
      </c>
      <c r="B32" s="84" t="s">
        <v>2356</v>
      </c>
      <c r="C32" s="11">
        <v>2013.0</v>
      </c>
      <c r="D32" s="85" t="s">
        <v>2409</v>
      </c>
      <c r="E32" s="11"/>
      <c r="F32" s="11"/>
      <c r="I32" s="31"/>
      <c r="J32" s="31"/>
      <c r="L32" s="31"/>
      <c r="M32" s="31"/>
      <c r="N32" s="31"/>
      <c r="O32" s="31"/>
      <c r="P32" s="85" t="s">
        <v>2410</v>
      </c>
      <c r="Q32" s="31"/>
      <c r="R32" s="31"/>
      <c r="S32" s="31"/>
      <c r="T32" s="31"/>
      <c r="U32" s="31"/>
      <c r="V32" s="31"/>
      <c r="W32" s="31"/>
      <c r="X32" s="31"/>
      <c r="Y32" s="31"/>
      <c r="Z32" s="31"/>
      <c r="AA32" s="31"/>
      <c r="AB32" s="11" t="s">
        <v>2411</v>
      </c>
      <c r="AC32" s="11" t="s">
        <v>2412</v>
      </c>
    </row>
    <row r="33" ht="15.75" customHeight="1">
      <c r="A33" s="11" t="s">
        <v>2413</v>
      </c>
      <c r="B33" s="84" t="s">
        <v>2356</v>
      </c>
      <c r="D33" s="87" t="s">
        <v>2414</v>
      </c>
      <c r="E33" s="11"/>
      <c r="F33" s="11"/>
      <c r="G33" s="86">
        <v>43653.0</v>
      </c>
      <c r="I33" s="31"/>
      <c r="J33" s="31"/>
      <c r="K33" s="11" t="s">
        <v>2415</v>
      </c>
      <c r="L33" s="31"/>
      <c r="M33" s="31"/>
      <c r="N33" s="31"/>
      <c r="O33" s="31"/>
      <c r="P33" s="31"/>
      <c r="Q33" s="31"/>
      <c r="R33" s="31"/>
      <c r="S33" s="31"/>
      <c r="T33" s="31"/>
      <c r="U33" s="31"/>
      <c r="V33" s="31"/>
      <c r="W33" s="31"/>
      <c r="X33" s="31"/>
      <c r="Y33" s="31"/>
      <c r="Z33" s="31"/>
      <c r="AA33" s="31"/>
    </row>
    <row r="34" ht="15.75" customHeight="1">
      <c r="A34" s="11" t="s">
        <v>2416</v>
      </c>
      <c r="B34" s="84" t="s">
        <v>2356</v>
      </c>
      <c r="D34" s="87" t="s">
        <v>2417</v>
      </c>
      <c r="E34" s="11" t="s">
        <v>2311</v>
      </c>
      <c r="F34" s="11"/>
      <c r="G34" s="88">
        <v>43748.0</v>
      </c>
      <c r="I34" s="31"/>
      <c r="J34" s="31"/>
      <c r="K34" s="11" t="s">
        <v>2418</v>
      </c>
      <c r="L34" s="31"/>
      <c r="M34" s="31"/>
      <c r="N34" s="31"/>
      <c r="O34" s="31"/>
      <c r="P34" s="31"/>
      <c r="Q34" s="31"/>
      <c r="R34" s="31"/>
      <c r="S34" s="31"/>
      <c r="T34" s="31"/>
      <c r="U34" s="31"/>
      <c r="V34" s="31"/>
      <c r="W34" s="31"/>
      <c r="X34" s="31"/>
      <c r="Y34" s="31"/>
      <c r="Z34" s="31"/>
      <c r="AA34" s="31"/>
    </row>
    <row r="35" ht="15.75" customHeight="1">
      <c r="A35" s="11" t="s">
        <v>2419</v>
      </c>
      <c r="B35" s="84" t="s">
        <v>2420</v>
      </c>
      <c r="C35" s="11">
        <v>2009.0</v>
      </c>
      <c r="D35" s="89" t="s">
        <v>2421</v>
      </c>
      <c r="E35" s="11" t="s">
        <v>2291</v>
      </c>
      <c r="F35" s="11" t="s">
        <v>2292</v>
      </c>
      <c r="G35" s="86">
        <v>43630.0</v>
      </c>
      <c r="H35" s="11" t="s">
        <v>2422</v>
      </c>
      <c r="I35" s="85" t="s">
        <v>2423</v>
      </c>
      <c r="J35" s="31" t="s">
        <v>2424</v>
      </c>
      <c r="L35" s="85" t="s">
        <v>2421</v>
      </c>
      <c r="M35" s="31"/>
      <c r="N35" s="31"/>
      <c r="O35" s="31"/>
      <c r="P35" s="31"/>
      <c r="Q35" s="31"/>
      <c r="R35" s="31"/>
      <c r="S35" s="31"/>
      <c r="T35" s="31"/>
      <c r="U35" s="31"/>
      <c r="V35" s="31"/>
      <c r="W35" s="31"/>
      <c r="X35" s="31"/>
      <c r="Y35" s="31"/>
      <c r="Z35" s="31"/>
      <c r="AA35" s="31"/>
    </row>
    <row r="36" ht="15.75" customHeight="1">
      <c r="A36" s="11" t="s">
        <v>2425</v>
      </c>
      <c r="B36" s="84" t="s">
        <v>2420</v>
      </c>
      <c r="D36" s="85" t="s">
        <v>2426</v>
      </c>
      <c r="E36" s="11"/>
      <c r="F36" s="11"/>
      <c r="I36" s="31"/>
      <c r="J36" s="31"/>
      <c r="L36" s="31"/>
      <c r="M36" s="31"/>
      <c r="N36" s="31"/>
      <c r="O36" s="31"/>
      <c r="P36" s="31"/>
      <c r="Q36" s="31"/>
      <c r="R36" s="31"/>
      <c r="S36" s="31"/>
      <c r="T36" s="31"/>
      <c r="U36" s="31"/>
      <c r="V36" s="31"/>
      <c r="W36" s="31"/>
      <c r="X36" s="31"/>
      <c r="Y36" s="31"/>
      <c r="Z36" s="31"/>
      <c r="AA36" s="31"/>
      <c r="AB36" s="11" t="s">
        <v>2427</v>
      </c>
    </row>
    <row r="37" ht="15.75" customHeight="1">
      <c r="A37" s="11" t="s">
        <v>2428</v>
      </c>
      <c r="B37" s="84" t="s">
        <v>2420</v>
      </c>
      <c r="D37" s="85" t="s">
        <v>2429</v>
      </c>
      <c r="E37" s="11"/>
      <c r="F37" s="11"/>
      <c r="I37" s="31"/>
      <c r="J37" s="31"/>
      <c r="L37" s="31"/>
      <c r="M37" s="31"/>
      <c r="N37" s="31"/>
      <c r="O37" s="31"/>
      <c r="P37" s="31"/>
      <c r="Q37" s="31"/>
      <c r="R37" s="31"/>
      <c r="S37" s="31"/>
      <c r="T37" s="31"/>
      <c r="U37" s="31"/>
      <c r="V37" s="31"/>
      <c r="W37" s="31"/>
      <c r="X37" s="31"/>
      <c r="Y37" s="31"/>
      <c r="Z37" s="31"/>
      <c r="AA37" s="31"/>
      <c r="AB37" s="11" t="s">
        <v>2430</v>
      </c>
    </row>
    <row r="38" ht="15.75" customHeight="1">
      <c r="A38" s="11" t="s">
        <v>2431</v>
      </c>
      <c r="B38" s="84" t="s">
        <v>2420</v>
      </c>
      <c r="D38" s="85" t="s">
        <v>2432</v>
      </c>
      <c r="E38" s="11"/>
      <c r="F38" s="11"/>
      <c r="I38" s="31"/>
      <c r="J38" s="31"/>
      <c r="L38" s="31"/>
      <c r="M38" s="31"/>
      <c r="N38" s="31"/>
      <c r="O38" s="31"/>
      <c r="P38" s="31"/>
      <c r="Q38" s="31"/>
      <c r="R38" s="31"/>
      <c r="S38" s="31"/>
      <c r="T38" s="31"/>
      <c r="U38" s="31"/>
      <c r="V38" s="31"/>
      <c r="W38" s="31"/>
      <c r="X38" s="31"/>
      <c r="Y38" s="31"/>
      <c r="Z38" s="31"/>
      <c r="AA38" s="31"/>
      <c r="AB38" s="11" t="s">
        <v>2433</v>
      </c>
    </row>
    <row r="39" ht="15.75" customHeight="1">
      <c r="A39" s="47" t="s">
        <v>2434</v>
      </c>
      <c r="B39" s="84" t="s">
        <v>2420</v>
      </c>
      <c r="D39" s="85" t="s">
        <v>2435</v>
      </c>
      <c r="E39" s="11"/>
      <c r="F39" s="11"/>
      <c r="I39" s="31"/>
      <c r="J39" s="31"/>
      <c r="L39" s="31"/>
      <c r="M39" s="31"/>
      <c r="N39" s="31"/>
      <c r="O39" s="31"/>
      <c r="P39" s="31"/>
      <c r="Q39" s="31"/>
      <c r="R39" s="31"/>
      <c r="S39" s="31"/>
      <c r="T39" s="31"/>
      <c r="U39" s="31"/>
      <c r="V39" s="31"/>
      <c r="W39" s="31"/>
      <c r="X39" s="31"/>
      <c r="Y39" s="31"/>
      <c r="Z39" s="31"/>
      <c r="AA39" s="31"/>
      <c r="AB39" s="11" t="s">
        <v>2436</v>
      </c>
    </row>
    <row r="40" ht="15.75" customHeight="1">
      <c r="A40" s="11" t="s">
        <v>2437</v>
      </c>
      <c r="B40" s="84" t="s">
        <v>2420</v>
      </c>
      <c r="D40" s="85" t="s">
        <v>2438</v>
      </c>
      <c r="E40" s="11"/>
      <c r="F40" s="11"/>
      <c r="I40" s="31"/>
      <c r="J40" s="31"/>
      <c r="K40" s="11" t="s">
        <v>116</v>
      </c>
      <c r="L40" s="31"/>
      <c r="M40" s="31"/>
      <c r="N40" s="31"/>
      <c r="O40" s="31"/>
      <c r="P40" s="31"/>
      <c r="Q40" s="31"/>
      <c r="R40" s="31"/>
      <c r="S40" s="31"/>
      <c r="T40" s="31"/>
      <c r="U40" s="31"/>
      <c r="V40" s="31"/>
      <c r="W40" s="31"/>
      <c r="X40" s="31"/>
      <c r="Y40" s="31"/>
      <c r="Z40" s="31"/>
      <c r="AA40" s="31"/>
      <c r="AB40" s="11" t="s">
        <v>2439</v>
      </c>
    </row>
    <row r="41" ht="15.75" customHeight="1">
      <c r="A41" s="11" t="s">
        <v>2440</v>
      </c>
      <c r="B41" s="84" t="s">
        <v>2420</v>
      </c>
      <c r="D41" s="47" t="s">
        <v>2441</v>
      </c>
      <c r="E41" s="11"/>
      <c r="F41" s="11"/>
      <c r="I41" s="31"/>
      <c r="J41" s="31"/>
      <c r="K41" s="11" t="s">
        <v>116</v>
      </c>
      <c r="L41" s="31"/>
      <c r="M41" s="31"/>
      <c r="N41" s="31"/>
      <c r="O41" s="31"/>
      <c r="P41" s="31"/>
      <c r="Q41" s="31"/>
      <c r="R41" s="31"/>
      <c r="S41" s="31"/>
      <c r="T41" s="31"/>
      <c r="U41" s="31"/>
      <c r="V41" s="31"/>
      <c r="W41" s="31"/>
      <c r="X41" s="31"/>
      <c r="Y41" s="31"/>
      <c r="Z41" s="31"/>
      <c r="AA41" s="31"/>
      <c r="AB41" s="11" t="s">
        <v>2442</v>
      </c>
    </row>
    <row r="42" ht="15.75" customHeight="1">
      <c r="A42" s="11" t="s">
        <v>2443</v>
      </c>
      <c r="B42" s="84" t="s">
        <v>2420</v>
      </c>
      <c r="D42" s="85" t="s">
        <v>2444</v>
      </c>
      <c r="E42" s="11" t="s">
        <v>2291</v>
      </c>
      <c r="F42" s="11"/>
      <c r="I42" s="31"/>
      <c r="J42" s="31"/>
      <c r="K42" s="11" t="s">
        <v>116</v>
      </c>
      <c r="L42" s="31"/>
      <c r="M42" s="31"/>
      <c r="N42" s="31"/>
      <c r="O42" s="31"/>
      <c r="P42" s="31"/>
      <c r="Q42" s="31"/>
      <c r="R42" s="31"/>
      <c r="S42" s="31"/>
      <c r="T42" s="31"/>
      <c r="U42" s="31"/>
      <c r="V42" s="31"/>
      <c r="W42" s="31"/>
      <c r="X42" s="31"/>
      <c r="Y42" s="31"/>
      <c r="Z42" s="31"/>
      <c r="AA42" s="31"/>
    </row>
    <row r="43" ht="15.75" customHeight="1">
      <c r="A43" s="11" t="s">
        <v>2445</v>
      </c>
      <c r="B43" s="84" t="s">
        <v>2420</v>
      </c>
      <c r="D43" s="85" t="s">
        <v>2446</v>
      </c>
      <c r="E43" s="11" t="s">
        <v>2291</v>
      </c>
      <c r="F43" s="11"/>
      <c r="I43" s="31"/>
      <c r="J43" s="31"/>
      <c r="K43" s="11" t="s">
        <v>116</v>
      </c>
      <c r="L43" s="31"/>
      <c r="M43" s="31"/>
      <c r="N43" s="31"/>
      <c r="O43" s="31"/>
      <c r="P43" s="31"/>
      <c r="Q43" s="31"/>
      <c r="R43" s="31"/>
      <c r="S43" s="31"/>
      <c r="T43" s="31"/>
      <c r="U43" s="31"/>
      <c r="V43" s="31"/>
      <c r="W43" s="31"/>
      <c r="X43" s="31"/>
      <c r="Y43" s="31"/>
      <c r="Z43" s="31"/>
      <c r="AA43" s="31"/>
    </row>
    <row r="44" ht="15.75" customHeight="1">
      <c r="A44" s="11" t="s">
        <v>2447</v>
      </c>
      <c r="B44" s="84" t="s">
        <v>2420</v>
      </c>
      <c r="D44" s="85" t="s">
        <v>2448</v>
      </c>
      <c r="E44" s="11" t="s">
        <v>2291</v>
      </c>
      <c r="F44" s="11"/>
      <c r="I44" s="31"/>
      <c r="J44" s="31"/>
      <c r="K44" s="11" t="s">
        <v>116</v>
      </c>
      <c r="L44" s="31"/>
      <c r="M44" s="31"/>
      <c r="N44" s="31"/>
      <c r="O44" s="31"/>
      <c r="P44" s="31"/>
      <c r="Q44" s="31"/>
      <c r="R44" s="31"/>
      <c r="S44" s="31"/>
      <c r="T44" s="31"/>
      <c r="U44" s="31"/>
      <c r="V44" s="31"/>
      <c r="W44" s="31"/>
      <c r="X44" s="31"/>
      <c r="Y44" s="31"/>
      <c r="Z44" s="31"/>
      <c r="AA44" s="31"/>
    </row>
    <row r="45" ht="15.75" customHeight="1">
      <c r="A45" s="11" t="s">
        <v>2449</v>
      </c>
      <c r="B45" s="84" t="s">
        <v>2420</v>
      </c>
      <c r="D45" s="47" t="s">
        <v>2450</v>
      </c>
      <c r="E45" s="11"/>
      <c r="F45" s="11"/>
      <c r="I45" s="31"/>
      <c r="J45" s="31"/>
      <c r="L45" s="31"/>
      <c r="M45" s="31"/>
      <c r="N45" s="31"/>
      <c r="O45" s="31"/>
      <c r="P45" s="31"/>
      <c r="Q45" s="31"/>
      <c r="R45" s="31"/>
      <c r="S45" s="31"/>
      <c r="T45" s="31"/>
      <c r="U45" s="31"/>
      <c r="V45" s="31"/>
      <c r="W45" s="31"/>
      <c r="X45" s="31"/>
      <c r="Y45" s="31"/>
      <c r="Z45" s="31"/>
      <c r="AA45" s="31"/>
    </row>
    <row r="46" ht="15.75" customHeight="1">
      <c r="A46" s="11" t="s">
        <v>2451</v>
      </c>
      <c r="B46" s="84" t="s">
        <v>2420</v>
      </c>
      <c r="D46" s="47" t="s">
        <v>2452</v>
      </c>
      <c r="E46" s="11"/>
      <c r="F46" s="11"/>
      <c r="I46" s="31"/>
      <c r="J46" s="31"/>
      <c r="L46" s="31"/>
      <c r="M46" s="31"/>
      <c r="N46" s="31"/>
      <c r="O46" s="31"/>
      <c r="P46" s="31"/>
      <c r="Q46" s="31"/>
      <c r="R46" s="31"/>
      <c r="S46" s="31"/>
      <c r="T46" s="31"/>
      <c r="U46" s="31"/>
      <c r="V46" s="31"/>
      <c r="W46" s="31"/>
      <c r="X46" s="31"/>
      <c r="Y46" s="31"/>
      <c r="Z46" s="31"/>
      <c r="AA46" s="31"/>
      <c r="AB46" s="11" t="s">
        <v>2453</v>
      </c>
    </row>
    <row r="47" ht="15.75" customHeight="1">
      <c r="A47" s="11" t="s">
        <v>2454</v>
      </c>
      <c r="B47" s="84" t="s">
        <v>2420</v>
      </c>
      <c r="D47" s="47" t="s">
        <v>2455</v>
      </c>
      <c r="E47" s="11"/>
      <c r="F47" s="11"/>
      <c r="I47" s="31"/>
      <c r="J47" s="31"/>
      <c r="L47" s="31"/>
      <c r="M47" s="31"/>
      <c r="N47" s="31"/>
      <c r="O47" s="31"/>
      <c r="P47" s="31"/>
      <c r="Q47" s="31"/>
      <c r="R47" s="31"/>
      <c r="S47" s="31"/>
      <c r="T47" s="31"/>
      <c r="U47" s="31"/>
      <c r="V47" s="31"/>
      <c r="W47" s="31"/>
      <c r="X47" s="31"/>
      <c r="Y47" s="31"/>
      <c r="Z47" s="31"/>
      <c r="AA47" s="31"/>
    </row>
    <row r="48" ht="15.75" customHeight="1">
      <c r="A48" s="11" t="s">
        <v>2456</v>
      </c>
      <c r="B48" s="84" t="s">
        <v>2420</v>
      </c>
      <c r="D48" s="47" t="s">
        <v>2457</v>
      </c>
      <c r="E48" s="11"/>
      <c r="F48" s="11"/>
      <c r="I48" s="31"/>
      <c r="J48" s="31"/>
      <c r="L48" s="31"/>
      <c r="M48" s="31"/>
      <c r="N48" s="31"/>
      <c r="O48" s="31"/>
      <c r="P48" s="31"/>
      <c r="Q48" s="31"/>
      <c r="R48" s="31"/>
      <c r="S48" s="31"/>
      <c r="T48" s="31"/>
      <c r="U48" s="31"/>
      <c r="V48" s="31"/>
      <c r="W48" s="31"/>
      <c r="X48" s="31"/>
      <c r="Y48" s="31"/>
      <c r="Z48" s="31"/>
      <c r="AA48" s="31"/>
      <c r="AB48" s="11" t="s">
        <v>2458</v>
      </c>
    </row>
    <row r="49" ht="15.75" customHeight="1">
      <c r="A49" s="11" t="s">
        <v>2459</v>
      </c>
      <c r="B49" s="84" t="s">
        <v>2420</v>
      </c>
      <c r="C49" s="11">
        <v>2018.0</v>
      </c>
      <c r="D49" s="47" t="s">
        <v>2460</v>
      </c>
      <c r="E49" s="11"/>
      <c r="F49" s="11"/>
      <c r="I49" s="85" t="s">
        <v>2461</v>
      </c>
      <c r="J49" s="31"/>
      <c r="L49" s="31"/>
      <c r="M49" s="31"/>
      <c r="N49" s="31"/>
      <c r="O49" s="31"/>
      <c r="P49" s="31"/>
      <c r="Q49" s="31"/>
      <c r="R49" s="31"/>
      <c r="S49" s="31"/>
      <c r="T49" s="31"/>
      <c r="U49" s="31"/>
      <c r="V49" s="31"/>
      <c r="W49" s="31"/>
      <c r="X49" s="31"/>
      <c r="Y49" s="31"/>
      <c r="Z49" s="31"/>
      <c r="AA49" s="31"/>
      <c r="AB49" s="11" t="s">
        <v>2458</v>
      </c>
    </row>
    <row r="50" ht="15.75" customHeight="1">
      <c r="A50" s="11" t="s">
        <v>2462</v>
      </c>
      <c r="B50" s="84" t="s">
        <v>2420</v>
      </c>
      <c r="D50" s="47" t="s">
        <v>2463</v>
      </c>
      <c r="E50" s="11"/>
      <c r="F50" s="11"/>
      <c r="I50" s="31"/>
      <c r="J50" s="31"/>
      <c r="L50" s="31"/>
      <c r="M50" s="31"/>
      <c r="N50" s="31"/>
      <c r="O50" s="31"/>
      <c r="P50" s="31"/>
      <c r="Q50" s="31"/>
      <c r="R50" s="31"/>
      <c r="S50" s="31"/>
      <c r="T50" s="31"/>
      <c r="U50" s="31"/>
      <c r="V50" s="31"/>
      <c r="W50" s="31"/>
      <c r="X50" s="31"/>
      <c r="Y50" s="31"/>
      <c r="Z50" s="31"/>
      <c r="AA50" s="31"/>
      <c r="AB50" s="11" t="s">
        <v>2464</v>
      </c>
      <c r="AC50" s="11" t="s">
        <v>2465</v>
      </c>
    </row>
    <row r="51" ht="15.75" customHeight="1">
      <c r="A51" s="11" t="s">
        <v>2466</v>
      </c>
      <c r="B51" s="84" t="s">
        <v>2420</v>
      </c>
      <c r="D51" s="47" t="s">
        <v>2467</v>
      </c>
      <c r="E51" s="11"/>
      <c r="F51" s="11"/>
      <c r="I51" s="31"/>
      <c r="J51" s="31"/>
      <c r="L51" s="31"/>
      <c r="M51" s="31"/>
      <c r="N51" s="31"/>
      <c r="O51" s="31"/>
      <c r="P51" s="31"/>
      <c r="Q51" s="31"/>
      <c r="R51" s="31"/>
      <c r="S51" s="31"/>
      <c r="T51" s="31"/>
      <c r="U51" s="31"/>
      <c r="V51" s="31"/>
      <c r="W51" s="31"/>
      <c r="X51" s="31"/>
      <c r="Y51" s="31"/>
      <c r="Z51" s="31"/>
      <c r="AA51" s="31"/>
      <c r="AB51" s="11" t="s">
        <v>2453</v>
      </c>
    </row>
    <row r="52" ht="15.75" customHeight="1">
      <c r="A52" s="11" t="s">
        <v>2468</v>
      </c>
      <c r="B52" s="84" t="s">
        <v>2420</v>
      </c>
      <c r="D52" s="85" t="s">
        <v>2469</v>
      </c>
      <c r="E52" s="11"/>
      <c r="F52" s="11"/>
      <c r="I52" s="31"/>
      <c r="J52" s="31"/>
      <c r="K52" s="11" t="s">
        <v>2470</v>
      </c>
      <c r="L52" s="31"/>
      <c r="M52" s="31"/>
      <c r="N52" s="31"/>
      <c r="O52" s="31"/>
      <c r="P52" s="31"/>
      <c r="Q52" s="31"/>
      <c r="R52" s="31"/>
      <c r="S52" s="31"/>
      <c r="T52" s="31"/>
      <c r="U52" s="31"/>
      <c r="V52" s="31"/>
      <c r="W52" s="31"/>
      <c r="X52" s="31"/>
      <c r="Y52" s="31"/>
      <c r="Z52" s="31"/>
      <c r="AA52" s="31"/>
      <c r="AB52" s="11" t="s">
        <v>2471</v>
      </c>
    </row>
    <row r="53" ht="15.75" customHeight="1">
      <c r="A53" s="11" t="s">
        <v>2472</v>
      </c>
      <c r="B53" s="84" t="s">
        <v>2420</v>
      </c>
      <c r="D53" s="85" t="s">
        <v>2473</v>
      </c>
      <c r="E53" s="11"/>
      <c r="F53" s="11"/>
      <c r="I53" s="31"/>
      <c r="J53" s="31"/>
      <c r="K53" s="11" t="s">
        <v>2470</v>
      </c>
      <c r="L53" s="31"/>
      <c r="M53" s="31"/>
      <c r="N53" s="31"/>
      <c r="O53" s="31"/>
      <c r="P53" s="31"/>
      <c r="Q53" s="31"/>
      <c r="R53" s="31"/>
      <c r="S53" s="31"/>
      <c r="T53" s="31"/>
      <c r="U53" s="31"/>
      <c r="V53" s="31"/>
      <c r="W53" s="31"/>
      <c r="X53" s="31"/>
      <c r="Y53" s="31"/>
      <c r="Z53" s="31"/>
      <c r="AA53" s="31"/>
      <c r="AB53" s="11" t="s">
        <v>2474</v>
      </c>
    </row>
    <row r="54" ht="15.75" customHeight="1">
      <c r="A54" s="11" t="s">
        <v>2475</v>
      </c>
      <c r="B54" s="84" t="s">
        <v>2420</v>
      </c>
      <c r="D54" s="47" t="s">
        <v>2476</v>
      </c>
      <c r="E54" s="11"/>
      <c r="F54" s="11"/>
      <c r="I54" s="31"/>
      <c r="J54" s="31"/>
      <c r="L54" s="31"/>
      <c r="M54" s="31"/>
      <c r="N54" s="31"/>
      <c r="O54" s="31"/>
      <c r="P54" s="31"/>
      <c r="Q54" s="31"/>
      <c r="R54" s="31"/>
      <c r="S54" s="31"/>
      <c r="T54" s="31"/>
      <c r="U54" s="31"/>
      <c r="V54" s="31"/>
      <c r="W54" s="31"/>
      <c r="X54" s="31"/>
      <c r="Y54" s="31"/>
      <c r="Z54" s="31"/>
      <c r="AA54" s="31"/>
      <c r="AB54" s="11" t="s">
        <v>2477</v>
      </c>
    </row>
    <row r="55" ht="15.75" customHeight="1">
      <c r="A55" s="11" t="s">
        <v>2478</v>
      </c>
      <c r="B55" s="84" t="s">
        <v>2420</v>
      </c>
      <c r="D55" s="85" t="s">
        <v>2479</v>
      </c>
      <c r="E55" s="11"/>
      <c r="F55" s="11"/>
      <c r="I55" s="31"/>
      <c r="J55" s="31"/>
      <c r="K55" s="11" t="s">
        <v>2470</v>
      </c>
      <c r="L55" s="31"/>
      <c r="M55" s="31"/>
      <c r="N55" s="31"/>
      <c r="O55" s="31"/>
      <c r="P55" s="31"/>
      <c r="Q55" s="31"/>
      <c r="R55" s="31"/>
      <c r="S55" s="31"/>
      <c r="T55" s="31"/>
      <c r="U55" s="31"/>
      <c r="V55" s="31"/>
      <c r="W55" s="31"/>
      <c r="X55" s="31"/>
      <c r="Y55" s="31"/>
      <c r="Z55" s="31"/>
      <c r="AA55" s="31"/>
      <c r="AB55" s="11" t="s">
        <v>2480</v>
      </c>
    </row>
    <row r="56" ht="15.75" customHeight="1">
      <c r="A56" s="11" t="s">
        <v>2481</v>
      </c>
      <c r="B56" s="84" t="s">
        <v>2420</v>
      </c>
      <c r="D56" s="85" t="s">
        <v>2482</v>
      </c>
      <c r="E56" s="11"/>
      <c r="F56" s="11"/>
      <c r="I56" s="31"/>
      <c r="J56" s="31"/>
      <c r="K56" s="11" t="s">
        <v>2470</v>
      </c>
      <c r="L56" s="31"/>
      <c r="M56" s="31"/>
      <c r="N56" s="31"/>
      <c r="O56" s="31"/>
      <c r="P56" s="31"/>
      <c r="Q56" s="31"/>
      <c r="R56" s="31"/>
      <c r="S56" s="31"/>
      <c r="T56" s="31"/>
      <c r="U56" s="31"/>
      <c r="V56" s="31"/>
      <c r="W56" s="31"/>
      <c r="X56" s="31"/>
      <c r="Y56" s="31"/>
      <c r="Z56" s="31"/>
      <c r="AA56" s="31"/>
      <c r="AB56" s="11" t="s">
        <v>2483</v>
      </c>
    </row>
    <row r="57" ht="15.75" customHeight="1">
      <c r="A57" s="11" t="s">
        <v>2484</v>
      </c>
      <c r="B57" s="84" t="s">
        <v>2420</v>
      </c>
      <c r="D57" s="89" t="s">
        <v>2485</v>
      </c>
      <c r="E57" s="11"/>
      <c r="F57" s="11"/>
      <c r="I57" s="31"/>
      <c r="J57" s="31"/>
      <c r="L57" s="31"/>
      <c r="M57" s="31"/>
      <c r="N57" s="31"/>
      <c r="O57" s="31"/>
      <c r="P57" s="31"/>
      <c r="Q57" s="31"/>
      <c r="R57" s="31"/>
      <c r="S57" s="31"/>
      <c r="T57" s="31"/>
      <c r="U57" s="31"/>
      <c r="V57" s="31"/>
      <c r="W57" s="31"/>
      <c r="X57" s="31"/>
      <c r="Y57" s="31"/>
      <c r="Z57" s="31"/>
      <c r="AA57" s="31"/>
      <c r="AB57" s="11" t="s">
        <v>2486</v>
      </c>
      <c r="AE57" s="11" t="s">
        <v>2487</v>
      </c>
    </row>
    <row r="58" ht="15.75" customHeight="1">
      <c r="A58" s="11" t="s">
        <v>2488</v>
      </c>
      <c r="B58" s="84" t="s">
        <v>2420</v>
      </c>
      <c r="D58" s="87" t="s">
        <v>2489</v>
      </c>
      <c r="E58" s="11"/>
      <c r="F58" s="11"/>
      <c r="I58" s="31"/>
      <c r="J58" s="31"/>
      <c r="L58" s="31"/>
      <c r="M58" s="31"/>
      <c r="N58" s="31"/>
      <c r="O58" s="31"/>
      <c r="P58" s="31"/>
      <c r="Q58" s="31"/>
      <c r="R58" s="31"/>
      <c r="S58" s="31"/>
      <c r="T58" s="31"/>
      <c r="U58" s="31"/>
      <c r="V58" s="31"/>
      <c r="W58" s="31"/>
      <c r="X58" s="31"/>
      <c r="Y58" s="31"/>
      <c r="Z58" s="31"/>
      <c r="AA58" s="31"/>
    </row>
    <row r="59" ht="15.75" customHeight="1">
      <c r="A59" s="11" t="s">
        <v>2490</v>
      </c>
      <c r="B59" s="84" t="s">
        <v>2420</v>
      </c>
      <c r="D59" s="87" t="s">
        <v>2491</v>
      </c>
      <c r="E59" s="11"/>
      <c r="F59" s="11"/>
      <c r="I59" s="31"/>
      <c r="J59" s="31"/>
      <c r="L59" s="31"/>
      <c r="M59" s="31"/>
      <c r="N59" s="31"/>
      <c r="O59" s="31"/>
      <c r="P59" s="31"/>
      <c r="Q59" s="31"/>
      <c r="R59" s="31"/>
      <c r="S59" s="31"/>
      <c r="T59" s="31"/>
      <c r="U59" s="31"/>
      <c r="V59" s="31"/>
      <c r="W59" s="31"/>
      <c r="X59" s="31"/>
      <c r="Y59" s="31"/>
      <c r="Z59" s="31"/>
      <c r="AA59" s="31"/>
    </row>
    <row r="60" ht="15.75" customHeight="1">
      <c r="A60" s="11" t="s">
        <v>2492</v>
      </c>
      <c r="B60" s="84" t="s">
        <v>2493</v>
      </c>
      <c r="C60" s="11">
        <v>2014.0</v>
      </c>
      <c r="D60" s="90" t="s">
        <v>2494</v>
      </c>
      <c r="E60" s="11" t="s">
        <v>2291</v>
      </c>
      <c r="F60" s="11" t="s">
        <v>2292</v>
      </c>
      <c r="G60" s="86">
        <v>43630.0</v>
      </c>
      <c r="H60" s="11" t="s">
        <v>2495</v>
      </c>
      <c r="I60" s="85" t="s">
        <v>2496</v>
      </c>
      <c r="J60" s="85" t="s">
        <v>2497</v>
      </c>
      <c r="L60" s="31"/>
      <c r="M60" s="85" t="s">
        <v>2494</v>
      </c>
      <c r="N60" s="31"/>
      <c r="O60" s="31"/>
      <c r="P60" s="31"/>
      <c r="Q60" s="31"/>
      <c r="R60" s="31"/>
      <c r="S60" s="31"/>
      <c r="T60" s="31"/>
      <c r="U60" s="31"/>
      <c r="V60" s="31"/>
      <c r="W60" s="31"/>
      <c r="X60" s="31"/>
      <c r="Y60" s="31"/>
      <c r="Z60" s="31"/>
      <c r="AA60" s="31"/>
    </row>
    <row r="61" ht="15.75" customHeight="1">
      <c r="A61" s="11" t="s">
        <v>2498</v>
      </c>
      <c r="B61" s="84" t="s">
        <v>2493</v>
      </c>
      <c r="D61" s="85" t="s">
        <v>2499</v>
      </c>
      <c r="E61" s="11"/>
      <c r="F61" s="11"/>
      <c r="I61" s="31"/>
      <c r="J61" s="31"/>
      <c r="L61" s="31"/>
      <c r="M61" s="31"/>
      <c r="N61" s="31"/>
      <c r="O61" s="31"/>
      <c r="P61" s="31"/>
      <c r="Q61" s="31"/>
      <c r="R61" s="31"/>
      <c r="S61" s="31"/>
      <c r="T61" s="31"/>
      <c r="U61" s="31"/>
      <c r="V61" s="31"/>
      <c r="W61" s="31"/>
      <c r="X61" s="31"/>
      <c r="Y61" s="31"/>
      <c r="Z61" s="31"/>
      <c r="AA61" s="31"/>
      <c r="AB61" s="11" t="s">
        <v>2500</v>
      </c>
    </row>
    <row r="62" ht="15.75" customHeight="1">
      <c r="A62" s="11" t="s">
        <v>2501</v>
      </c>
      <c r="B62" s="84" t="s">
        <v>2493</v>
      </c>
      <c r="D62" s="85" t="s">
        <v>2502</v>
      </c>
      <c r="E62" s="11"/>
      <c r="F62" s="11"/>
      <c r="I62" s="31"/>
      <c r="J62" s="31"/>
      <c r="L62" s="31"/>
      <c r="M62" s="31"/>
      <c r="N62" s="31"/>
      <c r="O62" s="31"/>
      <c r="P62" s="31"/>
      <c r="Q62" s="31"/>
      <c r="R62" s="31"/>
      <c r="S62" s="31"/>
      <c r="T62" s="31"/>
      <c r="U62" s="31"/>
      <c r="V62" s="31"/>
      <c r="W62" s="31"/>
      <c r="X62" s="31"/>
      <c r="Y62" s="31"/>
      <c r="Z62" s="31"/>
      <c r="AA62" s="31"/>
      <c r="AB62" s="11" t="s">
        <v>2503</v>
      </c>
    </row>
    <row r="63" ht="15.75" customHeight="1">
      <c r="A63" s="11" t="s">
        <v>2504</v>
      </c>
      <c r="B63" s="84" t="s">
        <v>2493</v>
      </c>
      <c r="D63" s="85" t="s">
        <v>2505</v>
      </c>
      <c r="E63" s="11"/>
      <c r="F63" s="11"/>
      <c r="I63" s="31"/>
      <c r="J63" s="31"/>
      <c r="L63" s="31"/>
      <c r="M63" s="31"/>
      <c r="N63" s="31"/>
      <c r="O63" s="31"/>
      <c r="P63" s="31"/>
      <c r="Q63" s="31"/>
      <c r="R63" s="31"/>
      <c r="S63" s="31"/>
      <c r="T63" s="31"/>
      <c r="U63" s="31"/>
      <c r="V63" s="31"/>
      <c r="W63" s="31"/>
      <c r="X63" s="31"/>
      <c r="Y63" s="31"/>
      <c r="Z63" s="31"/>
      <c r="AA63" s="31"/>
      <c r="AB63" s="11" t="s">
        <v>2506</v>
      </c>
    </row>
    <row r="64" ht="15.75" customHeight="1">
      <c r="A64" s="11" t="s">
        <v>2507</v>
      </c>
      <c r="B64" s="84" t="s">
        <v>2493</v>
      </c>
      <c r="D64" s="85" t="s">
        <v>2508</v>
      </c>
      <c r="E64" s="11"/>
      <c r="F64" s="11"/>
      <c r="I64" s="31"/>
      <c r="J64" s="31"/>
      <c r="K64" s="11" t="s">
        <v>116</v>
      </c>
      <c r="L64" s="31"/>
      <c r="M64" s="31"/>
      <c r="N64" s="31"/>
      <c r="O64" s="31"/>
      <c r="P64" s="31"/>
      <c r="Q64" s="31"/>
      <c r="R64" s="31"/>
      <c r="S64" s="31"/>
      <c r="T64" s="85" t="s">
        <v>2508</v>
      </c>
      <c r="U64" s="31"/>
      <c r="V64" s="31"/>
      <c r="W64" s="31"/>
      <c r="X64" s="31"/>
      <c r="Y64" s="31"/>
      <c r="Z64" s="31"/>
      <c r="AA64" s="31"/>
    </row>
    <row r="65" ht="15.75" customHeight="1">
      <c r="A65" s="11" t="s">
        <v>2509</v>
      </c>
      <c r="B65" s="84" t="s">
        <v>2493</v>
      </c>
      <c r="D65" s="31"/>
      <c r="E65" s="11"/>
      <c r="F65" s="11"/>
      <c r="I65" s="31"/>
      <c r="J65" s="31"/>
      <c r="K65" s="11" t="s">
        <v>116</v>
      </c>
      <c r="L65" s="31"/>
      <c r="M65" s="31"/>
      <c r="N65" s="31"/>
      <c r="O65" s="31"/>
      <c r="P65" s="31"/>
      <c r="Q65" s="31"/>
      <c r="R65" s="31"/>
      <c r="S65" s="31"/>
      <c r="T65" s="31"/>
      <c r="U65" s="31"/>
      <c r="V65" s="31"/>
      <c r="W65" s="31"/>
      <c r="X65" s="31"/>
      <c r="Y65" s="31"/>
      <c r="Z65" s="31"/>
      <c r="AA65" s="31"/>
    </row>
    <row r="66" ht="15.75" customHeight="1">
      <c r="A66" s="11" t="s">
        <v>2510</v>
      </c>
      <c r="B66" s="84" t="s">
        <v>2493</v>
      </c>
      <c r="D66" s="31"/>
      <c r="E66" s="11"/>
      <c r="F66" s="11"/>
      <c r="I66" s="31"/>
      <c r="J66" s="31"/>
      <c r="K66" s="11" t="s">
        <v>116</v>
      </c>
      <c r="L66" s="31"/>
      <c r="M66" s="31"/>
      <c r="N66" s="31"/>
      <c r="O66" s="31"/>
      <c r="P66" s="31"/>
      <c r="Q66" s="31"/>
      <c r="R66" s="31"/>
      <c r="S66" s="31"/>
      <c r="T66" s="31"/>
      <c r="U66" s="31"/>
      <c r="V66" s="31"/>
      <c r="W66" s="31"/>
      <c r="X66" s="31"/>
      <c r="Y66" s="31"/>
      <c r="Z66" s="31"/>
      <c r="AA66" s="31"/>
    </row>
    <row r="67" ht="15.75" customHeight="1">
      <c r="A67" s="11" t="s">
        <v>2511</v>
      </c>
      <c r="B67" s="84" t="s">
        <v>2493</v>
      </c>
      <c r="D67" s="31"/>
      <c r="E67" s="11"/>
      <c r="F67" s="11"/>
      <c r="I67" s="31"/>
      <c r="J67" s="31"/>
      <c r="K67" s="11" t="s">
        <v>116</v>
      </c>
      <c r="L67" s="31"/>
      <c r="M67" s="31"/>
      <c r="N67" s="31"/>
      <c r="O67" s="31"/>
      <c r="P67" s="31"/>
      <c r="Q67" s="31"/>
      <c r="R67" s="31"/>
      <c r="S67" s="31"/>
      <c r="T67" s="31"/>
      <c r="U67" s="31"/>
      <c r="V67" s="31"/>
      <c r="W67" s="31"/>
      <c r="X67" s="31"/>
      <c r="Y67" s="31"/>
      <c r="Z67" s="31"/>
      <c r="AA67" s="31"/>
    </row>
    <row r="68" ht="15.75" customHeight="1">
      <c r="A68" s="11" t="s">
        <v>2512</v>
      </c>
      <c r="B68" s="84" t="s">
        <v>2493</v>
      </c>
      <c r="D68" s="31"/>
      <c r="E68" s="11"/>
      <c r="F68" s="11"/>
      <c r="I68" s="31"/>
      <c r="J68" s="31"/>
      <c r="K68" s="11" t="s">
        <v>116</v>
      </c>
      <c r="L68" s="31"/>
      <c r="M68" s="31"/>
      <c r="N68" s="31"/>
      <c r="O68" s="31"/>
      <c r="P68" s="31"/>
      <c r="Q68" s="31"/>
      <c r="R68" s="31"/>
      <c r="S68" s="31"/>
      <c r="T68" s="31"/>
      <c r="U68" s="31"/>
      <c r="V68" s="31"/>
      <c r="W68" s="31"/>
      <c r="X68" s="31"/>
      <c r="Y68" s="31"/>
      <c r="Z68" s="31"/>
      <c r="AA68" s="31"/>
    </row>
    <row r="69" ht="15.75" customHeight="1">
      <c r="A69" s="11" t="s">
        <v>2513</v>
      </c>
      <c r="B69" s="84" t="s">
        <v>2493</v>
      </c>
      <c r="D69" s="31"/>
      <c r="E69" s="11"/>
      <c r="F69" s="11"/>
      <c r="I69" s="31"/>
      <c r="J69" s="31"/>
      <c r="K69" s="11" t="s">
        <v>116</v>
      </c>
      <c r="L69" s="31"/>
      <c r="M69" s="31"/>
      <c r="N69" s="31"/>
      <c r="O69" s="31"/>
      <c r="P69" s="31"/>
      <c r="Q69" s="31"/>
      <c r="R69" s="31"/>
      <c r="S69" s="31"/>
      <c r="T69" s="31"/>
      <c r="U69" s="31"/>
      <c r="V69" s="31"/>
      <c r="W69" s="31"/>
      <c r="X69" s="31"/>
      <c r="Y69" s="31"/>
      <c r="Z69" s="31"/>
      <c r="AA69" s="31"/>
    </row>
    <row r="70" ht="15.75" customHeight="1">
      <c r="A70" s="11" t="s">
        <v>2514</v>
      </c>
      <c r="B70" s="84" t="s">
        <v>2493</v>
      </c>
      <c r="D70" s="47" t="s">
        <v>2515</v>
      </c>
      <c r="E70" s="11"/>
      <c r="F70" s="11"/>
      <c r="I70" s="85" t="s">
        <v>2516</v>
      </c>
      <c r="J70" s="31"/>
      <c r="L70" s="31"/>
      <c r="M70" s="31"/>
      <c r="N70" s="31"/>
      <c r="O70" s="31"/>
      <c r="P70" s="31"/>
      <c r="Q70" s="31"/>
      <c r="R70" s="31"/>
      <c r="S70" s="31"/>
      <c r="T70" s="31"/>
      <c r="U70" s="31"/>
      <c r="V70" s="31"/>
      <c r="W70" s="31"/>
      <c r="X70" s="31"/>
      <c r="Y70" s="31"/>
      <c r="Z70" s="31"/>
      <c r="AA70" s="31"/>
    </row>
    <row r="71" ht="15.75" customHeight="1">
      <c r="A71" s="11" t="s">
        <v>2517</v>
      </c>
      <c r="B71" s="84" t="s">
        <v>2493</v>
      </c>
      <c r="D71" s="47" t="s">
        <v>2518</v>
      </c>
      <c r="E71" s="11"/>
      <c r="F71" s="11"/>
      <c r="I71" s="31"/>
      <c r="J71" s="31"/>
      <c r="L71" s="31"/>
      <c r="M71" s="31"/>
      <c r="N71" s="31"/>
      <c r="O71" s="31"/>
      <c r="P71" s="31"/>
      <c r="Q71" s="31"/>
      <c r="R71" s="31"/>
      <c r="S71" s="31"/>
      <c r="T71" s="31"/>
      <c r="U71" s="31"/>
      <c r="V71" s="31"/>
      <c r="W71" s="31"/>
      <c r="X71" s="31"/>
      <c r="Y71" s="31"/>
      <c r="Z71" s="31"/>
      <c r="AA71" s="31"/>
      <c r="AB71" s="11" t="s">
        <v>2519</v>
      </c>
    </row>
    <row r="72" ht="15.75" customHeight="1">
      <c r="A72" s="11" t="s">
        <v>2520</v>
      </c>
      <c r="B72" s="84" t="s">
        <v>2493</v>
      </c>
      <c r="D72" s="85" t="s">
        <v>2521</v>
      </c>
      <c r="E72" s="11"/>
      <c r="F72" s="11"/>
      <c r="I72" s="31"/>
      <c r="J72" s="31"/>
      <c r="K72" s="11" t="s">
        <v>2470</v>
      </c>
      <c r="L72" s="31"/>
      <c r="M72" s="31"/>
      <c r="N72" s="31"/>
      <c r="O72" s="31"/>
      <c r="P72" s="31"/>
      <c r="Q72" s="31"/>
      <c r="R72" s="31"/>
      <c r="S72" s="31"/>
      <c r="T72" s="31"/>
      <c r="U72" s="31"/>
      <c r="V72" s="31"/>
      <c r="W72" s="31"/>
      <c r="X72" s="31"/>
      <c r="Y72" s="31"/>
      <c r="Z72" s="31"/>
      <c r="AA72" s="31"/>
      <c r="AB72" s="11" t="s">
        <v>2522</v>
      </c>
    </row>
    <row r="73" ht="15.75" customHeight="1">
      <c r="A73" s="11" t="s">
        <v>2523</v>
      </c>
      <c r="B73" s="84" t="s">
        <v>2493</v>
      </c>
      <c r="C73" s="11">
        <v>2010.0</v>
      </c>
      <c r="D73" s="85" t="s">
        <v>2524</v>
      </c>
      <c r="E73" s="11"/>
      <c r="F73" s="11"/>
      <c r="I73" s="31"/>
      <c r="J73" s="31"/>
      <c r="L73" s="31"/>
      <c r="M73" s="31"/>
      <c r="N73" s="31"/>
      <c r="O73" s="31"/>
      <c r="P73" s="31"/>
      <c r="Q73" s="31"/>
      <c r="R73" s="31"/>
      <c r="S73" s="31"/>
      <c r="T73" s="31"/>
      <c r="U73" s="31"/>
      <c r="V73" s="31"/>
      <c r="W73" s="31"/>
      <c r="X73" s="31"/>
      <c r="Y73" s="31"/>
      <c r="Z73" s="31"/>
      <c r="AA73" s="31"/>
      <c r="AB73" s="11" t="s">
        <v>2525</v>
      </c>
    </row>
    <row r="74" ht="15.75" customHeight="1">
      <c r="A74" s="11" t="s">
        <v>2526</v>
      </c>
      <c r="B74" s="84" t="s">
        <v>2493</v>
      </c>
      <c r="D74" s="47" t="s">
        <v>2527</v>
      </c>
      <c r="E74" s="11"/>
      <c r="F74" s="11"/>
      <c r="I74" s="31"/>
      <c r="J74" s="31"/>
      <c r="L74" s="31"/>
      <c r="M74" s="31"/>
      <c r="N74" s="31"/>
      <c r="O74" s="31"/>
      <c r="P74" s="31"/>
      <c r="Q74" s="31"/>
      <c r="R74" s="31"/>
      <c r="S74" s="31"/>
      <c r="T74" s="31"/>
      <c r="U74" s="31"/>
      <c r="V74" s="31"/>
      <c r="W74" s="31"/>
      <c r="X74" s="31"/>
      <c r="Y74" s="31"/>
      <c r="Z74" s="31"/>
      <c r="AA74" s="31"/>
      <c r="AB74" s="11" t="s">
        <v>2528</v>
      </c>
    </row>
    <row r="75" ht="15.75" customHeight="1">
      <c r="A75" s="11" t="s">
        <v>2529</v>
      </c>
      <c r="B75" s="84" t="s">
        <v>2530</v>
      </c>
      <c r="D75" s="85" t="s">
        <v>2531</v>
      </c>
      <c r="E75" s="11" t="s">
        <v>2329</v>
      </c>
      <c r="F75" s="11"/>
      <c r="I75" s="31"/>
      <c r="J75" s="31"/>
      <c r="L75" s="31"/>
      <c r="M75" s="31"/>
      <c r="N75" s="31"/>
      <c r="O75" s="31"/>
      <c r="P75" s="31"/>
      <c r="Q75" s="31"/>
      <c r="R75" s="31"/>
      <c r="S75" s="31"/>
      <c r="T75" s="31"/>
      <c r="U75" s="31"/>
      <c r="V75" s="31"/>
      <c r="W75" s="31"/>
      <c r="X75" s="31"/>
      <c r="Y75" s="31"/>
      <c r="Z75" s="31"/>
      <c r="AA75" s="31"/>
    </row>
    <row r="76" ht="15.75" customHeight="1">
      <c r="A76" s="11" t="s">
        <v>2532</v>
      </c>
      <c r="B76" s="84" t="s">
        <v>2530</v>
      </c>
      <c r="D76" s="47" t="s">
        <v>2533</v>
      </c>
      <c r="E76" s="11"/>
      <c r="F76" s="11"/>
      <c r="I76" s="31"/>
      <c r="J76" s="31"/>
      <c r="K76" s="11" t="s">
        <v>116</v>
      </c>
      <c r="L76" s="31"/>
      <c r="M76" s="31"/>
      <c r="N76" s="31"/>
      <c r="O76" s="31"/>
      <c r="P76" s="31"/>
      <c r="Q76" s="31"/>
      <c r="R76" s="31"/>
      <c r="S76" s="31"/>
      <c r="T76" s="31"/>
      <c r="U76" s="31"/>
      <c r="V76" s="31"/>
      <c r="W76" s="31"/>
      <c r="X76" s="31"/>
      <c r="Y76" s="31"/>
      <c r="Z76" s="31"/>
      <c r="AA76" s="31"/>
      <c r="AB76" s="11" t="s">
        <v>2534</v>
      </c>
    </row>
    <row r="77" ht="15.75" customHeight="1">
      <c r="A77" s="11" t="s">
        <v>2535</v>
      </c>
      <c r="B77" s="84" t="s">
        <v>2493</v>
      </c>
      <c r="D77" s="85" t="s">
        <v>2536</v>
      </c>
      <c r="E77" s="11"/>
      <c r="F77" s="11"/>
      <c r="G77" s="88">
        <v>43779.0</v>
      </c>
      <c r="I77" s="31"/>
      <c r="J77" s="31"/>
      <c r="L77" s="31"/>
      <c r="M77" s="31"/>
      <c r="N77" s="31"/>
      <c r="O77" s="31"/>
      <c r="P77" s="85" t="s">
        <v>2536</v>
      </c>
      <c r="Q77" s="85" t="s">
        <v>2536</v>
      </c>
      <c r="R77" s="31"/>
      <c r="S77" s="31"/>
      <c r="T77" s="31"/>
      <c r="U77" s="31"/>
      <c r="V77" s="31"/>
      <c r="W77" s="31"/>
      <c r="X77" s="31"/>
      <c r="Y77" s="31"/>
      <c r="Z77" s="31"/>
      <c r="AA77" s="31"/>
    </row>
    <row r="78" ht="15.75" customHeight="1">
      <c r="A78" s="11" t="s">
        <v>2537</v>
      </c>
      <c r="B78" s="84"/>
      <c r="D78" s="47" t="s">
        <v>2538</v>
      </c>
      <c r="E78" s="11"/>
      <c r="F78" s="11"/>
      <c r="I78" s="31"/>
      <c r="J78" s="31"/>
      <c r="L78" s="31"/>
      <c r="M78" s="31"/>
      <c r="N78" s="31"/>
      <c r="O78" s="31"/>
      <c r="P78" s="31"/>
      <c r="Q78" s="31"/>
      <c r="R78" s="31"/>
      <c r="S78" s="31"/>
      <c r="T78" s="31"/>
      <c r="U78" s="31"/>
      <c r="V78" s="31"/>
      <c r="W78" s="31"/>
      <c r="X78" s="31"/>
      <c r="Y78" s="31"/>
      <c r="Z78" s="31"/>
      <c r="AA78" s="31"/>
    </row>
    <row r="79" ht="15.75" customHeight="1">
      <c r="A79" s="11" t="s">
        <v>2539</v>
      </c>
      <c r="B79" s="84"/>
      <c r="D79" s="47" t="s">
        <v>2540</v>
      </c>
      <c r="E79" s="11"/>
      <c r="F79" s="11"/>
      <c r="I79" s="31"/>
      <c r="J79" s="31"/>
      <c r="L79" s="31"/>
      <c r="M79" s="31"/>
      <c r="N79" s="31"/>
      <c r="O79" s="31"/>
      <c r="P79" s="31"/>
      <c r="Q79" s="31"/>
      <c r="R79" s="31"/>
      <c r="S79" s="31"/>
      <c r="T79" s="31"/>
      <c r="U79" s="31"/>
      <c r="V79" s="31"/>
      <c r="W79" s="31"/>
      <c r="X79" s="31"/>
      <c r="Y79" s="31"/>
      <c r="Z79" s="31"/>
      <c r="AA79" s="31"/>
    </row>
    <row r="80" ht="15.75" customHeight="1">
      <c r="A80" s="11" t="s">
        <v>2541</v>
      </c>
      <c r="B80" s="84"/>
      <c r="C80" s="11">
        <v>2010.0</v>
      </c>
      <c r="D80" s="85" t="s">
        <v>2542</v>
      </c>
      <c r="E80" s="11"/>
      <c r="F80" s="11"/>
      <c r="I80" s="31"/>
      <c r="J80" s="31"/>
      <c r="K80" s="11" t="s">
        <v>2470</v>
      </c>
      <c r="L80" s="31"/>
      <c r="M80" s="31"/>
      <c r="N80" s="31"/>
      <c r="O80" s="31"/>
      <c r="P80" s="31"/>
      <c r="Q80" s="31"/>
      <c r="R80" s="31"/>
      <c r="S80" s="31"/>
      <c r="T80" s="31"/>
      <c r="U80" s="31"/>
      <c r="V80" s="31"/>
      <c r="W80" s="31"/>
      <c r="X80" s="31"/>
      <c r="Y80" s="31"/>
      <c r="Z80" s="31"/>
      <c r="AA80" s="31"/>
    </row>
    <row r="81" ht="15.75" customHeight="1">
      <c r="A81" s="11" t="s">
        <v>2543</v>
      </c>
      <c r="B81" s="84"/>
      <c r="D81" s="85" t="s">
        <v>2544</v>
      </c>
      <c r="E81" s="11"/>
      <c r="F81" s="11"/>
      <c r="I81" s="31"/>
      <c r="J81" s="31"/>
      <c r="K81" s="11" t="s">
        <v>2470</v>
      </c>
      <c r="L81" s="31"/>
      <c r="M81" s="31"/>
      <c r="N81" s="31"/>
      <c r="O81" s="31"/>
      <c r="P81" s="31"/>
      <c r="Q81" s="31"/>
      <c r="R81" s="31"/>
      <c r="S81" s="31"/>
      <c r="T81" s="31"/>
      <c r="U81" s="31"/>
      <c r="V81" s="31"/>
      <c r="W81" s="31"/>
      <c r="X81" s="31"/>
      <c r="Y81" s="31"/>
      <c r="Z81" s="31"/>
      <c r="AA81" s="31"/>
    </row>
    <row r="82" ht="15.75" customHeight="1">
      <c r="A82" s="11" t="s">
        <v>2545</v>
      </c>
      <c r="B82" s="84"/>
      <c r="C82" s="11">
        <v>2006.0</v>
      </c>
      <c r="D82" s="85" t="s">
        <v>2546</v>
      </c>
      <c r="E82" s="11"/>
      <c r="F82" s="11"/>
      <c r="I82" s="31"/>
      <c r="J82" s="31"/>
      <c r="K82" s="11" t="s">
        <v>2470</v>
      </c>
      <c r="L82" s="31"/>
      <c r="M82" s="31"/>
      <c r="N82" s="31"/>
      <c r="O82" s="31"/>
      <c r="P82" s="31"/>
      <c r="Q82" s="31"/>
      <c r="R82" s="31"/>
      <c r="S82" s="31"/>
      <c r="T82" s="31"/>
      <c r="U82" s="31"/>
      <c r="V82" s="31"/>
      <c r="W82" s="31"/>
      <c r="X82" s="31"/>
      <c r="Y82" s="31"/>
      <c r="Z82" s="31"/>
      <c r="AA82" s="31"/>
    </row>
    <row r="83" ht="15.75" customHeight="1">
      <c r="A83" s="11" t="s">
        <v>2547</v>
      </c>
      <c r="B83" s="84"/>
      <c r="D83" s="85" t="s">
        <v>2548</v>
      </c>
      <c r="E83" s="11"/>
      <c r="F83" s="11"/>
      <c r="I83" s="31"/>
      <c r="J83" s="31"/>
      <c r="K83" s="11" t="s">
        <v>2470</v>
      </c>
      <c r="L83" s="31"/>
      <c r="M83" s="31"/>
      <c r="N83" s="31"/>
      <c r="O83" s="31"/>
      <c r="P83" s="31"/>
      <c r="Q83" s="31"/>
      <c r="R83" s="31"/>
      <c r="S83" s="31"/>
      <c r="T83" s="31"/>
      <c r="U83" s="31"/>
      <c r="V83" s="31"/>
      <c r="W83" s="31"/>
      <c r="X83" s="31"/>
      <c r="Y83" s="31"/>
      <c r="Z83" s="31"/>
      <c r="AA83" s="31"/>
    </row>
    <row r="84" ht="15.75" customHeight="1">
      <c r="A84" s="11" t="s">
        <v>2549</v>
      </c>
      <c r="B84" s="84"/>
      <c r="D84" s="85" t="s">
        <v>2550</v>
      </c>
      <c r="E84" s="11"/>
      <c r="F84" s="11"/>
      <c r="I84" s="31"/>
      <c r="J84" s="31"/>
      <c r="K84" s="11" t="s">
        <v>2470</v>
      </c>
      <c r="L84" s="31"/>
      <c r="M84" s="31"/>
      <c r="N84" s="31"/>
      <c r="O84" s="31"/>
      <c r="P84" s="31"/>
      <c r="Q84" s="31"/>
      <c r="R84" s="31"/>
      <c r="S84" s="31"/>
      <c r="T84" s="31"/>
      <c r="U84" s="31"/>
      <c r="V84" s="31"/>
      <c r="W84" s="31"/>
      <c r="X84" s="31"/>
      <c r="Y84" s="31"/>
      <c r="Z84" s="31"/>
      <c r="AA84" s="31"/>
    </row>
    <row r="85" ht="15.75" customHeight="1">
      <c r="A85" s="11" t="s">
        <v>2551</v>
      </c>
      <c r="B85" s="84"/>
      <c r="C85" s="11">
        <v>2013.0</v>
      </c>
      <c r="D85" s="85" t="s">
        <v>2552</v>
      </c>
      <c r="E85" s="11"/>
      <c r="F85" s="11"/>
      <c r="I85" s="31"/>
      <c r="J85" s="31"/>
      <c r="L85" s="31"/>
      <c r="M85" s="31"/>
      <c r="N85" s="31"/>
      <c r="O85" s="31"/>
      <c r="P85" s="31"/>
      <c r="Q85" s="31"/>
      <c r="R85" s="31"/>
      <c r="S85" s="31"/>
      <c r="T85" s="31"/>
      <c r="U85" s="31"/>
      <c r="V85" s="31"/>
      <c r="W85" s="31"/>
      <c r="X85" s="31"/>
      <c r="Y85" s="31"/>
      <c r="Z85" s="31"/>
      <c r="AA85" s="31"/>
    </row>
    <row r="86" ht="15.75" customHeight="1">
      <c r="A86" s="11" t="s">
        <v>2553</v>
      </c>
      <c r="B86" s="84"/>
      <c r="D86" s="85" t="s">
        <v>2554</v>
      </c>
      <c r="E86" s="11"/>
      <c r="F86" s="11"/>
      <c r="I86" s="31"/>
      <c r="J86" s="31"/>
      <c r="L86" s="31"/>
      <c r="M86" s="31"/>
      <c r="N86" s="31"/>
      <c r="O86" s="31"/>
      <c r="P86" s="31"/>
      <c r="Q86" s="31"/>
      <c r="R86" s="31"/>
      <c r="S86" s="31"/>
      <c r="T86" s="31"/>
      <c r="U86" s="31"/>
      <c r="V86" s="31"/>
      <c r="W86" s="31"/>
      <c r="X86" s="31"/>
      <c r="Y86" s="31"/>
      <c r="Z86" s="31"/>
      <c r="AA86" s="31"/>
    </row>
    <row r="87" ht="15.75" customHeight="1">
      <c r="A87" s="11" t="s">
        <v>2555</v>
      </c>
      <c r="B87" s="84"/>
      <c r="D87" s="85" t="s">
        <v>2556</v>
      </c>
      <c r="E87" s="11"/>
      <c r="F87" s="11"/>
      <c r="I87" s="31"/>
      <c r="J87" s="31"/>
      <c r="L87" s="31"/>
      <c r="M87" s="31"/>
      <c r="N87" s="31"/>
      <c r="O87" s="31"/>
      <c r="P87" s="31"/>
      <c r="Q87" s="31"/>
      <c r="R87" s="31"/>
      <c r="S87" s="31"/>
      <c r="T87" s="31"/>
      <c r="U87" s="31"/>
      <c r="V87" s="31"/>
      <c r="W87" s="31"/>
      <c r="X87" s="31"/>
      <c r="Y87" s="31"/>
      <c r="Z87" s="31"/>
      <c r="AA87" s="31"/>
      <c r="AB87" s="11" t="s">
        <v>2557</v>
      </c>
    </row>
    <row r="88" ht="15.75" customHeight="1">
      <c r="A88" s="11" t="s">
        <v>2558</v>
      </c>
      <c r="B88" s="84"/>
      <c r="D88" s="85" t="s">
        <v>2559</v>
      </c>
      <c r="E88" s="11"/>
      <c r="F88" s="11"/>
      <c r="I88" s="31"/>
      <c r="J88" s="31"/>
      <c r="L88" s="31"/>
      <c r="M88" s="31"/>
      <c r="N88" s="31"/>
      <c r="O88" s="31"/>
      <c r="P88" s="31"/>
      <c r="Q88" s="31"/>
      <c r="R88" s="31"/>
      <c r="S88" s="31"/>
      <c r="T88" s="31"/>
      <c r="U88" s="31"/>
      <c r="V88" s="31"/>
      <c r="W88" s="31"/>
      <c r="X88" s="31"/>
      <c r="Y88" s="31"/>
      <c r="Z88" s="31"/>
      <c r="AA88" s="31"/>
    </row>
    <row r="89" ht="15.75" customHeight="1">
      <c r="A89" s="11" t="s">
        <v>2560</v>
      </c>
      <c r="B89" s="84"/>
      <c r="D89" s="85" t="s">
        <v>2561</v>
      </c>
      <c r="E89" s="11"/>
      <c r="F89" s="11"/>
      <c r="I89" s="85" t="s">
        <v>2562</v>
      </c>
      <c r="J89" s="31"/>
      <c r="L89" s="31"/>
      <c r="M89" s="31"/>
      <c r="N89" s="31"/>
      <c r="O89" s="31"/>
      <c r="P89" s="31"/>
      <c r="Q89" s="31"/>
      <c r="R89" s="31"/>
      <c r="S89" s="31"/>
      <c r="T89" s="31"/>
      <c r="U89" s="31"/>
      <c r="V89" s="31"/>
      <c r="W89" s="31"/>
      <c r="X89" s="31"/>
      <c r="Y89" s="31"/>
      <c r="Z89" s="31"/>
      <c r="AA89" s="31"/>
    </row>
    <row r="90" ht="15.75" customHeight="1">
      <c r="A90" s="11" t="s">
        <v>2563</v>
      </c>
      <c r="B90" s="84"/>
      <c r="D90" s="85" t="s">
        <v>2564</v>
      </c>
      <c r="E90" s="11"/>
      <c r="F90" s="11"/>
      <c r="I90" s="31"/>
      <c r="J90" s="31"/>
      <c r="L90" s="31"/>
      <c r="M90" s="31"/>
      <c r="N90" s="31"/>
      <c r="O90" s="31"/>
      <c r="P90" s="31"/>
      <c r="Q90" s="31"/>
      <c r="R90" s="31"/>
      <c r="S90" s="31"/>
      <c r="T90" s="31"/>
      <c r="U90" s="31"/>
      <c r="V90" s="31"/>
      <c r="W90" s="31"/>
      <c r="X90" s="31"/>
      <c r="Y90" s="31"/>
      <c r="Z90" s="31"/>
      <c r="AA90" s="31"/>
    </row>
    <row r="91" ht="15.75" customHeight="1">
      <c r="A91" s="11" t="s">
        <v>2565</v>
      </c>
      <c r="B91" s="84"/>
      <c r="C91" s="11">
        <v>2011.0</v>
      </c>
      <c r="D91" s="85" t="s">
        <v>2566</v>
      </c>
      <c r="E91" s="11"/>
      <c r="F91" s="11"/>
      <c r="I91" s="31"/>
      <c r="J91" s="31"/>
      <c r="K91" s="11" t="s">
        <v>2567</v>
      </c>
      <c r="L91" s="31"/>
      <c r="M91" s="31"/>
      <c r="N91" s="31"/>
      <c r="O91" s="31"/>
      <c r="P91" s="31"/>
      <c r="Q91" s="31"/>
      <c r="R91" s="31"/>
      <c r="S91" s="31"/>
      <c r="T91" s="31"/>
      <c r="U91" s="31"/>
      <c r="V91" s="31"/>
      <c r="W91" s="31"/>
      <c r="X91" s="31"/>
      <c r="Y91" s="31"/>
      <c r="Z91" s="31"/>
      <c r="AA91" s="31"/>
    </row>
    <row r="92" ht="15.75" customHeight="1">
      <c r="A92" s="11" t="s">
        <v>2568</v>
      </c>
      <c r="B92" s="84"/>
      <c r="D92" s="85" t="s">
        <v>2569</v>
      </c>
      <c r="E92" s="11"/>
      <c r="F92" s="11"/>
      <c r="I92" s="31"/>
      <c r="J92" s="31"/>
      <c r="L92" s="31"/>
      <c r="M92" s="31"/>
      <c r="N92" s="31"/>
      <c r="O92" s="31"/>
      <c r="P92" s="31"/>
      <c r="Q92" s="31"/>
      <c r="R92" s="31"/>
      <c r="S92" s="31"/>
      <c r="T92" s="31"/>
      <c r="U92" s="31"/>
      <c r="V92" s="31"/>
      <c r="W92" s="31"/>
      <c r="X92" s="31"/>
      <c r="Y92" s="31"/>
      <c r="Z92" s="31"/>
      <c r="AA92" s="31"/>
    </row>
    <row r="93" ht="15.75" customHeight="1">
      <c r="A93" s="11" t="s">
        <v>2570</v>
      </c>
      <c r="B93" s="84"/>
      <c r="D93" s="85" t="s">
        <v>2571</v>
      </c>
      <c r="E93" s="11"/>
      <c r="F93" s="11"/>
      <c r="I93" s="31"/>
      <c r="J93" s="31"/>
      <c r="L93" s="31"/>
      <c r="M93" s="31"/>
      <c r="N93" s="31"/>
      <c r="O93" s="31"/>
      <c r="P93" s="31"/>
      <c r="Q93" s="31"/>
      <c r="R93" s="31"/>
      <c r="S93" s="31"/>
      <c r="T93" s="31"/>
      <c r="U93" s="31"/>
      <c r="V93" s="31"/>
      <c r="W93" s="31"/>
      <c r="X93" s="31"/>
      <c r="Y93" s="31"/>
      <c r="Z93" s="31"/>
      <c r="AA93" s="31"/>
      <c r="AB93" s="11" t="s">
        <v>2572</v>
      </c>
    </row>
    <row r="94" ht="15.75" customHeight="1">
      <c r="A94" s="11" t="s">
        <v>2573</v>
      </c>
      <c r="B94" s="84"/>
      <c r="D94" s="47" t="s">
        <v>2574</v>
      </c>
      <c r="E94" s="11"/>
      <c r="F94" s="11"/>
      <c r="I94" s="31"/>
      <c r="J94" s="31"/>
      <c r="L94" s="16"/>
      <c r="M94" s="16"/>
      <c r="N94" s="16"/>
      <c r="O94" s="16"/>
      <c r="P94" s="16"/>
      <c r="Q94" s="16"/>
      <c r="R94" s="16"/>
      <c r="S94" s="16"/>
      <c r="T94" s="16"/>
      <c r="U94" s="16"/>
      <c r="V94" s="16"/>
      <c r="W94" s="16"/>
      <c r="X94" s="16"/>
      <c r="Y94" s="16"/>
      <c r="Z94" s="16"/>
      <c r="AA94" s="16"/>
      <c r="AB94" s="91" t="s">
        <v>2575</v>
      </c>
    </row>
    <row r="95" ht="15.75" customHeight="1">
      <c r="A95" s="91" t="s">
        <v>2576</v>
      </c>
      <c r="B95" s="84"/>
      <c r="D95" s="47" t="s">
        <v>2577</v>
      </c>
      <c r="E95" s="11"/>
      <c r="F95" s="11"/>
      <c r="I95" s="31"/>
      <c r="J95" s="31"/>
      <c r="L95" s="31"/>
      <c r="M95" s="31"/>
      <c r="N95" s="31"/>
      <c r="O95" s="31"/>
      <c r="P95" s="31"/>
      <c r="Q95" s="31"/>
      <c r="R95" s="31"/>
      <c r="S95" s="31"/>
      <c r="T95" s="31"/>
      <c r="U95" s="31"/>
      <c r="V95" s="31"/>
      <c r="W95" s="31"/>
      <c r="X95" s="31"/>
      <c r="Y95" s="31"/>
      <c r="Z95" s="31"/>
      <c r="AA95" s="31"/>
    </row>
    <row r="96" ht="15.75" customHeight="1">
      <c r="A96" s="11" t="s">
        <v>2578</v>
      </c>
      <c r="B96" s="84"/>
      <c r="D96" s="47" t="s">
        <v>2579</v>
      </c>
      <c r="E96" s="11"/>
      <c r="F96" s="11"/>
      <c r="I96" s="31"/>
      <c r="J96" s="31"/>
      <c r="L96" s="16"/>
      <c r="M96" s="16"/>
      <c r="N96" s="16"/>
      <c r="O96" s="16"/>
      <c r="P96" s="16"/>
      <c r="Q96" s="16"/>
      <c r="R96" s="16"/>
      <c r="S96" s="16"/>
      <c r="T96" s="16"/>
      <c r="U96" s="16"/>
      <c r="V96" s="16"/>
      <c r="W96" s="16"/>
      <c r="X96" s="16"/>
      <c r="Y96" s="16"/>
      <c r="Z96" s="16"/>
      <c r="AA96" s="16"/>
      <c r="AB96" s="91" t="s">
        <v>2580</v>
      </c>
    </row>
    <row r="97" ht="15.75" customHeight="1">
      <c r="A97" s="91" t="s">
        <v>2581</v>
      </c>
      <c r="B97" s="84"/>
      <c r="D97" s="47" t="s">
        <v>2582</v>
      </c>
      <c r="E97" s="11"/>
      <c r="F97" s="11"/>
      <c r="I97" s="31"/>
      <c r="J97" s="31"/>
      <c r="L97" s="31"/>
      <c r="M97" s="31"/>
      <c r="N97" s="31"/>
      <c r="O97" s="31"/>
      <c r="P97" s="31"/>
      <c r="Q97" s="31"/>
      <c r="R97" s="31"/>
      <c r="S97" s="31"/>
      <c r="T97" s="31"/>
      <c r="U97" s="31"/>
      <c r="V97" s="31"/>
      <c r="W97" s="31"/>
      <c r="X97" s="31"/>
      <c r="Y97" s="31"/>
      <c r="Z97" s="31"/>
      <c r="AA97" s="31"/>
    </row>
    <row r="98" ht="15.75" customHeight="1">
      <c r="A98" s="11" t="s">
        <v>2583</v>
      </c>
      <c r="B98" s="84"/>
      <c r="D98" s="47" t="s">
        <v>2584</v>
      </c>
      <c r="E98" s="11"/>
      <c r="F98" s="11"/>
      <c r="I98" s="31"/>
      <c r="J98" s="31"/>
      <c r="L98" s="31"/>
      <c r="M98" s="31"/>
      <c r="N98" s="31"/>
      <c r="O98" s="31"/>
      <c r="P98" s="31"/>
      <c r="Q98" s="31"/>
      <c r="R98" s="31"/>
      <c r="S98" s="31"/>
      <c r="T98" s="31"/>
      <c r="U98" s="31"/>
      <c r="V98" s="31"/>
      <c r="W98" s="31"/>
      <c r="X98" s="31"/>
      <c r="Y98" s="31"/>
      <c r="Z98" s="31"/>
      <c r="AA98" s="31"/>
    </row>
    <row r="99" ht="15.75" customHeight="1">
      <c r="A99" s="11" t="s">
        <v>2585</v>
      </c>
      <c r="B99" s="84"/>
      <c r="D99" s="47" t="s">
        <v>2586</v>
      </c>
      <c r="E99" s="11"/>
      <c r="F99" s="11"/>
      <c r="I99" s="31"/>
      <c r="J99" s="31"/>
      <c r="L99" s="31"/>
      <c r="M99" s="31"/>
      <c r="N99" s="31"/>
      <c r="O99" s="31"/>
      <c r="P99" s="31"/>
      <c r="Q99" s="31"/>
      <c r="R99" s="31"/>
      <c r="S99" s="31"/>
      <c r="T99" s="31"/>
      <c r="U99" s="31"/>
      <c r="V99" s="31"/>
      <c r="W99" s="31"/>
      <c r="X99" s="31"/>
      <c r="Y99" s="31"/>
      <c r="Z99" s="31"/>
      <c r="AA99" s="31"/>
    </row>
    <row r="100" ht="15.75" customHeight="1">
      <c r="A100" s="91" t="s">
        <v>2587</v>
      </c>
      <c r="B100" s="84"/>
      <c r="D100" s="47" t="s">
        <v>2588</v>
      </c>
      <c r="E100" s="11"/>
      <c r="F100" s="11"/>
      <c r="I100" s="31"/>
      <c r="J100" s="31"/>
      <c r="L100" s="31"/>
      <c r="M100" s="31"/>
      <c r="N100" s="31"/>
      <c r="O100" s="31"/>
      <c r="P100" s="31"/>
      <c r="Q100" s="31"/>
      <c r="R100" s="31"/>
      <c r="S100" s="31"/>
      <c r="T100" s="31"/>
      <c r="U100" s="31"/>
      <c r="V100" s="31"/>
      <c r="W100" s="31"/>
      <c r="X100" s="31"/>
      <c r="Y100" s="31"/>
      <c r="Z100" s="31"/>
      <c r="AA100" s="31"/>
    </row>
    <row r="101" ht="15.75" customHeight="1">
      <c r="A101" s="91" t="s">
        <v>2589</v>
      </c>
      <c r="B101" s="84"/>
      <c r="D101" s="47" t="s">
        <v>2590</v>
      </c>
      <c r="E101" s="11"/>
      <c r="F101" s="11"/>
      <c r="I101" s="31"/>
      <c r="J101" s="31"/>
      <c r="L101" s="31"/>
      <c r="M101" s="31"/>
      <c r="N101" s="31"/>
      <c r="O101" s="31"/>
      <c r="P101" s="31"/>
      <c r="Q101" s="31"/>
      <c r="R101" s="31"/>
      <c r="S101" s="31"/>
      <c r="T101" s="31"/>
      <c r="U101" s="31"/>
      <c r="V101" s="31"/>
      <c r="W101" s="31"/>
      <c r="X101" s="31"/>
      <c r="Y101" s="31"/>
      <c r="Z101" s="31"/>
      <c r="AA101" s="31"/>
    </row>
    <row r="102" ht="15.75" customHeight="1">
      <c r="A102" s="11" t="s">
        <v>2591</v>
      </c>
      <c r="B102" s="84"/>
      <c r="D102" s="47" t="s">
        <v>2592</v>
      </c>
      <c r="E102" s="11"/>
      <c r="F102" s="11"/>
      <c r="I102" s="31"/>
      <c r="J102" s="31"/>
      <c r="L102" s="31"/>
      <c r="M102" s="31"/>
      <c r="N102" s="31"/>
      <c r="O102" s="31"/>
      <c r="P102" s="31"/>
      <c r="Q102" s="31"/>
      <c r="R102" s="31"/>
      <c r="S102" s="31"/>
      <c r="T102" s="31"/>
      <c r="U102" s="31"/>
      <c r="V102" s="31"/>
      <c r="W102" s="31"/>
      <c r="X102" s="31"/>
      <c r="Y102" s="31"/>
      <c r="Z102" s="31"/>
      <c r="AA102" s="31"/>
    </row>
    <row r="103" ht="15.75" customHeight="1">
      <c r="A103" s="11" t="s">
        <v>2593</v>
      </c>
      <c r="B103" s="84"/>
      <c r="D103" s="47" t="s">
        <v>2594</v>
      </c>
      <c r="E103" s="11"/>
      <c r="F103" s="11"/>
      <c r="I103" s="31"/>
      <c r="J103" s="31"/>
      <c r="L103" s="16"/>
      <c r="M103" s="16"/>
      <c r="N103" s="16"/>
      <c r="O103" s="16"/>
      <c r="P103" s="16"/>
      <c r="Q103" s="16"/>
      <c r="R103" s="16"/>
      <c r="S103" s="16"/>
      <c r="T103" s="16"/>
      <c r="U103" s="16"/>
      <c r="V103" s="16"/>
      <c r="W103" s="16"/>
      <c r="X103" s="16"/>
      <c r="Y103" s="16"/>
      <c r="Z103" s="16"/>
      <c r="AA103" s="16"/>
      <c r="AB103" s="91" t="s">
        <v>2595</v>
      </c>
    </row>
    <row r="104" ht="15.75" customHeight="1">
      <c r="A104" s="11" t="s">
        <v>2596</v>
      </c>
      <c r="B104" s="84" t="s">
        <v>2289</v>
      </c>
      <c r="C104" s="11">
        <v>2013.0</v>
      </c>
      <c r="D104" s="47" t="s">
        <v>2597</v>
      </c>
      <c r="E104" s="11" t="s">
        <v>2291</v>
      </c>
      <c r="F104" s="11"/>
      <c r="G104" s="86">
        <v>43777.0</v>
      </c>
      <c r="H104" s="11" t="s">
        <v>2598</v>
      </c>
      <c r="I104" s="85" t="s">
        <v>2599</v>
      </c>
      <c r="J104" s="31"/>
      <c r="L104" s="31"/>
      <c r="M104" s="31"/>
      <c r="N104" s="31"/>
      <c r="O104" s="31"/>
      <c r="P104" s="31"/>
      <c r="Q104" s="85" t="s">
        <v>2597</v>
      </c>
      <c r="R104" s="31"/>
      <c r="S104" s="31"/>
      <c r="T104" s="31"/>
      <c r="U104" s="31"/>
      <c r="V104" s="31"/>
      <c r="W104" s="31"/>
      <c r="X104" s="31"/>
      <c r="Y104" s="31"/>
      <c r="Z104" s="31"/>
      <c r="AA104" s="31"/>
    </row>
    <row r="105" ht="15.75" customHeight="1">
      <c r="A105" s="11" t="s">
        <v>2600</v>
      </c>
      <c r="B105" s="84"/>
      <c r="D105" s="47" t="s">
        <v>2601</v>
      </c>
      <c r="E105" s="11"/>
      <c r="F105" s="11"/>
      <c r="I105" s="31"/>
      <c r="J105" s="31"/>
      <c r="L105" s="31"/>
      <c r="M105" s="31"/>
      <c r="N105" s="31"/>
      <c r="O105" s="31"/>
      <c r="P105" s="31"/>
      <c r="Q105" s="31"/>
      <c r="R105" s="31"/>
      <c r="S105" s="31"/>
      <c r="T105" s="31"/>
      <c r="U105" s="31"/>
      <c r="V105" s="31"/>
      <c r="W105" s="31"/>
      <c r="X105" s="31"/>
      <c r="Y105" s="31"/>
      <c r="Z105" s="31"/>
      <c r="AA105" s="31"/>
    </row>
    <row r="106" ht="15.75" customHeight="1">
      <c r="A106" s="11" t="s">
        <v>2602</v>
      </c>
      <c r="B106" s="84"/>
      <c r="D106" s="47" t="s">
        <v>2603</v>
      </c>
      <c r="E106" s="11"/>
      <c r="F106" s="11"/>
      <c r="I106" s="31"/>
      <c r="J106" s="31"/>
      <c r="L106" s="31"/>
      <c r="M106" s="31"/>
      <c r="N106" s="31"/>
      <c r="O106" s="31"/>
      <c r="P106" s="31"/>
      <c r="Q106" s="31"/>
      <c r="R106" s="31"/>
      <c r="S106" s="31"/>
      <c r="T106" s="31"/>
      <c r="U106" s="31"/>
      <c r="V106" s="31"/>
      <c r="W106" s="31"/>
      <c r="X106" s="31"/>
      <c r="Y106" s="31"/>
      <c r="Z106" s="31"/>
      <c r="AA106" s="31"/>
    </row>
    <row r="107" ht="15.75" customHeight="1">
      <c r="A107" s="11" t="s">
        <v>2604</v>
      </c>
      <c r="B107" s="84"/>
      <c r="D107" s="47" t="s">
        <v>2605</v>
      </c>
      <c r="E107" s="11"/>
      <c r="F107" s="11"/>
      <c r="I107" s="31"/>
      <c r="J107" s="31"/>
      <c r="L107" s="31"/>
      <c r="M107" s="31"/>
      <c r="N107" s="31"/>
      <c r="O107" s="31"/>
      <c r="P107" s="31"/>
      <c r="Q107" s="31"/>
      <c r="R107" s="31"/>
      <c r="S107" s="31"/>
      <c r="T107" s="31"/>
      <c r="U107" s="31"/>
      <c r="V107" s="31"/>
      <c r="W107" s="31"/>
      <c r="X107" s="31"/>
      <c r="Y107" s="31"/>
      <c r="Z107" s="31"/>
      <c r="AA107" s="31"/>
    </row>
    <row r="108" ht="15.75" customHeight="1">
      <c r="A108" s="11" t="s">
        <v>2606</v>
      </c>
      <c r="B108" s="84"/>
      <c r="D108" s="47" t="s">
        <v>2607</v>
      </c>
      <c r="E108" s="11"/>
      <c r="F108" s="11"/>
      <c r="I108" s="31"/>
      <c r="J108" s="31"/>
      <c r="L108" s="31"/>
      <c r="M108" s="31"/>
      <c r="N108" s="31"/>
      <c r="O108" s="31"/>
      <c r="P108" s="31"/>
      <c r="Q108" s="31"/>
      <c r="R108" s="31"/>
      <c r="S108" s="31"/>
      <c r="T108" s="31"/>
      <c r="U108" s="31"/>
      <c r="V108" s="31"/>
      <c r="W108" s="31"/>
      <c r="X108" s="31"/>
      <c r="Y108" s="31"/>
      <c r="Z108" s="31"/>
      <c r="AA108" s="31"/>
    </row>
    <row r="109" ht="15.75" customHeight="1">
      <c r="A109" s="11" t="s">
        <v>2608</v>
      </c>
      <c r="B109" s="84"/>
      <c r="D109" s="47" t="s">
        <v>2609</v>
      </c>
      <c r="E109" s="11"/>
      <c r="F109" s="11"/>
      <c r="I109" s="31"/>
      <c r="J109" s="31"/>
      <c r="L109" s="31"/>
      <c r="M109" s="31"/>
      <c r="N109" s="31"/>
      <c r="O109" s="31"/>
      <c r="P109" s="31"/>
      <c r="Q109" s="31"/>
      <c r="R109" s="31"/>
      <c r="S109" s="31"/>
      <c r="T109" s="31"/>
      <c r="U109" s="31"/>
      <c r="V109" s="31"/>
      <c r="W109" s="31"/>
      <c r="X109" s="31"/>
      <c r="Y109" s="31"/>
      <c r="Z109" s="31"/>
      <c r="AA109" s="31"/>
    </row>
    <row r="110" ht="15.75" customHeight="1">
      <c r="A110" s="11" t="s">
        <v>2610</v>
      </c>
      <c r="B110" s="84"/>
      <c r="D110" s="47" t="s">
        <v>2611</v>
      </c>
      <c r="E110" s="11"/>
      <c r="F110" s="11"/>
      <c r="I110" s="31"/>
      <c r="J110" s="31"/>
      <c r="L110" s="31"/>
      <c r="M110" s="31"/>
      <c r="N110" s="31"/>
      <c r="O110" s="31"/>
      <c r="P110" s="31"/>
      <c r="Q110" s="31"/>
      <c r="R110" s="31"/>
      <c r="S110" s="31"/>
      <c r="T110" s="31"/>
      <c r="U110" s="31"/>
      <c r="V110" s="31"/>
      <c r="W110" s="31"/>
      <c r="X110" s="31"/>
      <c r="Y110" s="31"/>
      <c r="Z110" s="31"/>
      <c r="AA110" s="31"/>
    </row>
    <row r="111" ht="15.75" customHeight="1">
      <c r="A111" s="11" t="s">
        <v>2612</v>
      </c>
      <c r="B111" s="84"/>
      <c r="D111" s="47" t="s">
        <v>2613</v>
      </c>
      <c r="E111" s="11"/>
      <c r="F111" s="11"/>
      <c r="I111" s="31"/>
      <c r="J111" s="31"/>
      <c r="L111" s="31"/>
      <c r="M111" s="31"/>
      <c r="N111" s="31"/>
      <c r="O111" s="31"/>
      <c r="P111" s="31"/>
      <c r="Q111" s="31"/>
      <c r="R111" s="31"/>
      <c r="S111" s="31"/>
      <c r="T111" s="31"/>
      <c r="U111" s="31"/>
      <c r="V111" s="31"/>
      <c r="W111" s="31"/>
      <c r="X111" s="31"/>
      <c r="Y111" s="31"/>
      <c r="Z111" s="31"/>
      <c r="AA111" s="31"/>
    </row>
    <row r="112" ht="15.75" customHeight="1">
      <c r="A112" s="11" t="s">
        <v>2614</v>
      </c>
      <c r="B112" s="84"/>
      <c r="D112" s="47" t="s">
        <v>2615</v>
      </c>
      <c r="E112" s="11"/>
      <c r="F112" s="11"/>
      <c r="I112" s="31"/>
      <c r="J112" s="31"/>
      <c r="L112" s="31"/>
      <c r="M112" s="31"/>
      <c r="N112" s="31"/>
      <c r="O112" s="31"/>
      <c r="P112" s="31"/>
      <c r="Q112" s="31"/>
      <c r="R112" s="31"/>
      <c r="S112" s="31"/>
      <c r="T112" s="31"/>
      <c r="U112" s="31"/>
      <c r="V112" s="31"/>
      <c r="W112" s="31"/>
      <c r="X112" s="31"/>
      <c r="Y112" s="31"/>
      <c r="Z112" s="31"/>
      <c r="AA112" s="31"/>
    </row>
    <row r="113" ht="15.75" customHeight="1">
      <c r="A113" s="11" t="s">
        <v>2616</v>
      </c>
      <c r="B113" s="84"/>
      <c r="D113" s="47" t="s">
        <v>2617</v>
      </c>
      <c r="E113" s="11"/>
      <c r="F113" s="11"/>
      <c r="I113" s="31"/>
      <c r="J113" s="31"/>
      <c r="L113" s="31"/>
      <c r="M113" s="31"/>
      <c r="N113" s="31"/>
      <c r="O113" s="31"/>
      <c r="P113" s="31"/>
      <c r="Q113" s="31"/>
      <c r="R113" s="31"/>
      <c r="S113" s="31"/>
      <c r="T113" s="31"/>
      <c r="U113" s="31"/>
      <c r="V113" s="31"/>
      <c r="W113" s="31"/>
      <c r="X113" s="31"/>
      <c r="Y113" s="31"/>
      <c r="Z113" s="31"/>
      <c r="AA113" s="31"/>
    </row>
    <row r="114" ht="15.75" customHeight="1">
      <c r="A114" s="11" t="s">
        <v>2618</v>
      </c>
      <c r="B114" s="84"/>
      <c r="D114" s="47" t="s">
        <v>2619</v>
      </c>
      <c r="E114" s="11"/>
      <c r="F114" s="11"/>
      <c r="I114" s="31"/>
      <c r="J114" s="31"/>
      <c r="L114" s="31"/>
      <c r="M114" s="31"/>
      <c r="N114" s="31"/>
      <c r="O114" s="31"/>
      <c r="P114" s="31"/>
      <c r="Q114" s="31"/>
      <c r="R114" s="31"/>
      <c r="S114" s="31"/>
      <c r="T114" s="31"/>
      <c r="U114" s="31"/>
      <c r="V114" s="31"/>
      <c r="W114" s="31"/>
      <c r="X114" s="31"/>
      <c r="Y114" s="31"/>
      <c r="Z114" s="31"/>
      <c r="AA114" s="31"/>
    </row>
    <row r="115" ht="15.75" customHeight="1">
      <c r="A115" s="11" t="s">
        <v>2620</v>
      </c>
      <c r="B115" s="84"/>
      <c r="D115" s="47" t="s">
        <v>2621</v>
      </c>
      <c r="E115" s="11"/>
      <c r="F115" s="11"/>
      <c r="I115" s="31"/>
      <c r="J115" s="31"/>
      <c r="L115" s="31"/>
      <c r="M115" s="31"/>
      <c r="N115" s="31"/>
      <c r="O115" s="31"/>
      <c r="P115" s="31"/>
      <c r="Q115" s="31"/>
      <c r="R115" s="31"/>
      <c r="S115" s="31"/>
      <c r="T115" s="31"/>
      <c r="U115" s="31"/>
      <c r="V115" s="31"/>
      <c r="W115" s="31"/>
      <c r="X115" s="31"/>
      <c r="Y115" s="31"/>
      <c r="Z115" s="31"/>
      <c r="AA115" s="31"/>
    </row>
    <row r="116" ht="15.75" customHeight="1">
      <c r="A116" s="11" t="s">
        <v>2622</v>
      </c>
      <c r="B116" s="84"/>
      <c r="D116" s="47" t="s">
        <v>2623</v>
      </c>
      <c r="E116" s="11"/>
      <c r="F116" s="11"/>
      <c r="I116" s="31"/>
      <c r="J116" s="31"/>
      <c r="L116" s="31"/>
      <c r="M116" s="31"/>
      <c r="N116" s="31"/>
      <c r="O116" s="31"/>
      <c r="P116" s="31"/>
      <c r="Q116" s="31"/>
      <c r="R116" s="31"/>
      <c r="S116" s="31"/>
      <c r="T116" s="31"/>
      <c r="U116" s="31"/>
      <c r="V116" s="31"/>
      <c r="W116" s="31"/>
      <c r="X116" s="31"/>
      <c r="Y116" s="31"/>
      <c r="Z116" s="31"/>
      <c r="AA116" s="31"/>
    </row>
    <row r="117" ht="15.75" customHeight="1">
      <c r="A117" s="11" t="s">
        <v>2624</v>
      </c>
      <c r="B117" s="84"/>
      <c r="D117" s="47" t="s">
        <v>2625</v>
      </c>
      <c r="E117" s="11"/>
      <c r="F117" s="11"/>
      <c r="I117" s="31"/>
      <c r="J117" s="31"/>
      <c r="L117" s="31"/>
      <c r="M117" s="31"/>
      <c r="N117" s="31"/>
      <c r="O117" s="31"/>
      <c r="P117" s="31"/>
      <c r="Q117" s="31"/>
      <c r="R117" s="31"/>
      <c r="S117" s="31"/>
      <c r="T117" s="31"/>
      <c r="U117" s="31"/>
      <c r="V117" s="31"/>
      <c r="W117" s="31"/>
      <c r="X117" s="31"/>
      <c r="Y117" s="31"/>
      <c r="Z117" s="31"/>
      <c r="AA117" s="31"/>
    </row>
    <row r="118" ht="15.75" customHeight="1">
      <c r="A118" s="11" t="s">
        <v>2626</v>
      </c>
      <c r="B118" s="84"/>
      <c r="D118" s="47" t="s">
        <v>2627</v>
      </c>
      <c r="E118" s="11"/>
      <c r="F118" s="11"/>
      <c r="I118" s="31"/>
      <c r="J118" s="31"/>
      <c r="L118" s="31"/>
      <c r="M118" s="31"/>
      <c r="N118" s="31"/>
      <c r="O118" s="31"/>
      <c r="P118" s="31"/>
      <c r="Q118" s="31"/>
      <c r="R118" s="31"/>
      <c r="S118" s="31"/>
      <c r="T118" s="31"/>
      <c r="U118" s="31"/>
      <c r="V118" s="31"/>
      <c r="W118" s="31"/>
      <c r="X118" s="31"/>
      <c r="Y118" s="31"/>
      <c r="Z118" s="31"/>
      <c r="AA118" s="31"/>
    </row>
    <row r="119" ht="15.75" customHeight="1">
      <c r="A119" s="11" t="s">
        <v>2628</v>
      </c>
      <c r="B119" s="84"/>
      <c r="D119" s="47" t="s">
        <v>2629</v>
      </c>
      <c r="E119" s="11"/>
      <c r="F119" s="11"/>
      <c r="I119" s="31"/>
      <c r="J119" s="31"/>
      <c r="L119" s="31"/>
      <c r="M119" s="31"/>
      <c r="N119" s="31"/>
      <c r="O119" s="31"/>
      <c r="P119" s="31"/>
      <c r="Q119" s="31"/>
      <c r="R119" s="31"/>
      <c r="S119" s="31"/>
      <c r="T119" s="31"/>
      <c r="U119" s="31"/>
      <c r="V119" s="31"/>
      <c r="W119" s="31"/>
      <c r="X119" s="31"/>
      <c r="Y119" s="31"/>
      <c r="Z119" s="31"/>
      <c r="AA119" s="31"/>
    </row>
    <row r="120" ht="15.75" customHeight="1">
      <c r="A120" s="11" t="s">
        <v>2630</v>
      </c>
      <c r="B120" s="84"/>
      <c r="D120" s="47" t="s">
        <v>2631</v>
      </c>
      <c r="E120" s="11"/>
      <c r="F120" s="11"/>
      <c r="I120" s="31"/>
      <c r="J120" s="31"/>
      <c r="L120" s="31"/>
      <c r="M120" s="31"/>
      <c r="N120" s="31"/>
      <c r="O120" s="31"/>
      <c r="P120" s="31"/>
      <c r="Q120" s="31"/>
      <c r="R120" s="31"/>
      <c r="S120" s="31"/>
      <c r="T120" s="31"/>
      <c r="U120" s="31"/>
      <c r="V120" s="31"/>
      <c r="W120" s="31"/>
      <c r="X120" s="31"/>
      <c r="Y120" s="31"/>
      <c r="Z120" s="31"/>
      <c r="AA120" s="31"/>
    </row>
    <row r="121" ht="15.75" customHeight="1">
      <c r="A121" s="11" t="s">
        <v>2632</v>
      </c>
      <c r="B121" s="84"/>
      <c r="D121" s="47" t="s">
        <v>2633</v>
      </c>
      <c r="E121" s="11"/>
      <c r="F121" s="11"/>
      <c r="I121" s="31"/>
      <c r="J121" s="31"/>
      <c r="L121" s="31"/>
      <c r="M121" s="31"/>
      <c r="N121" s="31"/>
      <c r="O121" s="31"/>
      <c r="P121" s="31"/>
      <c r="Q121" s="31"/>
      <c r="R121" s="31"/>
      <c r="S121" s="31"/>
      <c r="T121" s="31"/>
      <c r="U121" s="31"/>
      <c r="V121" s="31"/>
      <c r="W121" s="31"/>
      <c r="X121" s="31"/>
      <c r="Y121" s="31"/>
      <c r="Z121" s="31"/>
      <c r="AA121" s="31"/>
    </row>
    <row r="122" ht="15.75" customHeight="1">
      <c r="A122" s="11" t="s">
        <v>2634</v>
      </c>
      <c r="B122" s="84"/>
      <c r="D122" s="47" t="s">
        <v>2635</v>
      </c>
      <c r="E122" s="11"/>
      <c r="F122" s="11"/>
      <c r="I122" s="31"/>
      <c r="J122" s="31"/>
      <c r="L122" s="31"/>
      <c r="M122" s="31"/>
      <c r="N122" s="31"/>
      <c r="O122" s="31"/>
      <c r="P122" s="31"/>
      <c r="Q122" s="31"/>
      <c r="R122" s="31"/>
      <c r="S122" s="31"/>
      <c r="T122" s="31"/>
      <c r="U122" s="31"/>
      <c r="V122" s="31"/>
      <c r="W122" s="31"/>
      <c r="X122" s="31"/>
      <c r="Y122" s="31"/>
      <c r="Z122" s="31"/>
      <c r="AA122" s="31"/>
    </row>
    <row r="123" ht="15.75" customHeight="1">
      <c r="A123" s="11" t="s">
        <v>2636</v>
      </c>
      <c r="B123" s="84"/>
      <c r="D123" s="47" t="s">
        <v>2637</v>
      </c>
      <c r="E123" s="11"/>
      <c r="F123" s="11"/>
      <c r="I123" s="31"/>
      <c r="J123" s="31"/>
      <c r="L123" s="31"/>
      <c r="M123" s="31"/>
      <c r="N123" s="31"/>
      <c r="O123" s="31"/>
      <c r="P123" s="31"/>
      <c r="Q123" s="31"/>
      <c r="R123" s="31"/>
      <c r="S123" s="31"/>
      <c r="T123" s="31"/>
      <c r="U123" s="31"/>
      <c r="V123" s="31"/>
      <c r="W123" s="31"/>
      <c r="X123" s="31"/>
      <c r="Y123" s="31"/>
      <c r="Z123" s="31"/>
      <c r="AA123" s="31"/>
    </row>
    <row r="124" ht="15.75" customHeight="1">
      <c r="A124" s="11" t="s">
        <v>2638</v>
      </c>
      <c r="B124" s="84"/>
      <c r="D124" s="47" t="s">
        <v>2639</v>
      </c>
      <c r="E124" s="11"/>
      <c r="F124" s="11"/>
      <c r="I124" s="31"/>
      <c r="J124" s="31"/>
      <c r="L124" s="31"/>
      <c r="M124" s="31"/>
      <c r="N124" s="31"/>
      <c r="O124" s="31"/>
      <c r="P124" s="31"/>
      <c r="Q124" s="31"/>
      <c r="R124" s="31"/>
      <c r="S124" s="31"/>
      <c r="T124" s="31"/>
      <c r="U124" s="31"/>
      <c r="V124" s="31"/>
      <c r="W124" s="31"/>
      <c r="X124" s="31"/>
      <c r="Y124" s="31"/>
      <c r="Z124" s="31"/>
      <c r="AA124" s="31"/>
    </row>
    <row r="125" ht="15.75" customHeight="1">
      <c r="A125" s="11" t="s">
        <v>2640</v>
      </c>
      <c r="B125" s="84"/>
      <c r="D125" s="47" t="s">
        <v>2641</v>
      </c>
      <c r="E125" s="11"/>
      <c r="F125" s="11"/>
      <c r="I125" s="31"/>
      <c r="J125" s="31"/>
      <c r="L125" s="31"/>
      <c r="M125" s="31"/>
      <c r="N125" s="31"/>
      <c r="O125" s="31"/>
      <c r="P125" s="31"/>
      <c r="Q125" s="31"/>
      <c r="R125" s="31"/>
      <c r="S125" s="31"/>
      <c r="T125" s="31"/>
      <c r="U125" s="31"/>
      <c r="V125" s="31"/>
      <c r="W125" s="31"/>
      <c r="X125" s="31"/>
      <c r="Y125" s="31"/>
      <c r="Z125" s="31"/>
      <c r="AA125" s="31"/>
    </row>
    <row r="126" ht="15.75" customHeight="1">
      <c r="A126" s="11" t="s">
        <v>2642</v>
      </c>
      <c r="B126" s="84"/>
      <c r="D126" s="47" t="s">
        <v>2643</v>
      </c>
      <c r="E126" s="11"/>
      <c r="F126" s="11"/>
      <c r="I126" s="31"/>
      <c r="J126" s="31"/>
      <c r="L126" s="31"/>
      <c r="M126" s="31"/>
      <c r="N126" s="31"/>
      <c r="O126" s="31"/>
      <c r="P126" s="31"/>
      <c r="Q126" s="31"/>
      <c r="R126" s="31"/>
      <c r="S126" s="31"/>
      <c r="T126" s="31"/>
      <c r="U126" s="31"/>
      <c r="V126" s="31"/>
      <c r="W126" s="31"/>
      <c r="X126" s="31"/>
      <c r="Y126" s="31"/>
      <c r="Z126" s="31"/>
      <c r="AA126" s="31"/>
    </row>
    <row r="127" ht="15.75" customHeight="1">
      <c r="A127" s="11" t="s">
        <v>2644</v>
      </c>
      <c r="B127" s="84"/>
      <c r="D127" s="47" t="s">
        <v>2645</v>
      </c>
      <c r="E127" s="11"/>
      <c r="F127" s="11"/>
      <c r="I127" s="31"/>
      <c r="J127" s="31"/>
      <c r="L127" s="31"/>
      <c r="M127" s="31"/>
      <c r="N127" s="31"/>
      <c r="O127" s="31"/>
      <c r="P127" s="31"/>
      <c r="Q127" s="31"/>
      <c r="R127" s="31"/>
      <c r="S127" s="31"/>
      <c r="T127" s="31"/>
      <c r="U127" s="31"/>
      <c r="V127" s="31"/>
      <c r="W127" s="31"/>
      <c r="X127" s="31"/>
      <c r="Y127" s="31"/>
      <c r="Z127" s="31"/>
      <c r="AA127" s="31"/>
    </row>
    <row r="128" ht="15.75" customHeight="1">
      <c r="A128" s="11" t="s">
        <v>2646</v>
      </c>
      <c r="B128" s="84"/>
      <c r="D128" s="47" t="s">
        <v>2647</v>
      </c>
      <c r="E128" s="11"/>
      <c r="F128" s="11"/>
      <c r="I128" s="31"/>
      <c r="J128" s="31"/>
      <c r="L128" s="31"/>
      <c r="M128" s="31"/>
      <c r="N128" s="31"/>
      <c r="O128" s="31"/>
      <c r="P128" s="31"/>
      <c r="Q128" s="31"/>
      <c r="R128" s="31"/>
      <c r="S128" s="31"/>
      <c r="T128" s="31"/>
      <c r="U128" s="31"/>
      <c r="V128" s="31"/>
      <c r="W128" s="31"/>
      <c r="X128" s="31"/>
      <c r="Y128" s="31"/>
      <c r="Z128" s="31"/>
      <c r="AA128" s="31"/>
    </row>
    <row r="129" ht="15.75" customHeight="1">
      <c r="A129" s="11" t="s">
        <v>2648</v>
      </c>
      <c r="B129" s="84"/>
      <c r="D129" s="47" t="s">
        <v>2649</v>
      </c>
      <c r="E129" s="11"/>
      <c r="F129" s="11"/>
      <c r="I129" s="31"/>
      <c r="J129" s="31"/>
      <c r="L129" s="31"/>
      <c r="M129" s="31"/>
      <c r="N129" s="31"/>
      <c r="O129" s="31"/>
      <c r="P129" s="31"/>
      <c r="Q129" s="31"/>
      <c r="R129" s="31"/>
      <c r="S129" s="31"/>
      <c r="T129" s="31"/>
      <c r="U129" s="31"/>
      <c r="V129" s="31"/>
      <c r="W129" s="31"/>
      <c r="X129" s="31"/>
      <c r="Y129" s="31"/>
      <c r="Z129" s="31"/>
      <c r="AA129" s="31"/>
    </row>
    <row r="130" ht="15.75" customHeight="1">
      <c r="A130" s="11" t="s">
        <v>2650</v>
      </c>
      <c r="B130" s="84"/>
      <c r="D130" s="47" t="s">
        <v>2651</v>
      </c>
      <c r="E130" s="11"/>
      <c r="F130" s="11"/>
      <c r="I130" s="31"/>
      <c r="J130" s="31"/>
      <c r="L130" s="31"/>
      <c r="M130" s="31"/>
      <c r="N130" s="31"/>
      <c r="O130" s="31"/>
      <c r="P130" s="31"/>
      <c r="Q130" s="31"/>
      <c r="R130" s="31"/>
      <c r="S130" s="31"/>
      <c r="T130" s="31"/>
      <c r="U130" s="31"/>
      <c r="V130" s="31"/>
      <c r="W130" s="31"/>
      <c r="X130" s="31"/>
      <c r="Y130" s="31"/>
      <c r="Z130" s="31"/>
      <c r="AA130" s="31"/>
    </row>
    <row r="131" ht="15.75" customHeight="1">
      <c r="A131" s="11" t="s">
        <v>2652</v>
      </c>
      <c r="B131" s="84"/>
      <c r="D131" s="47" t="s">
        <v>2653</v>
      </c>
      <c r="E131" s="11"/>
      <c r="F131" s="11"/>
      <c r="I131" s="31"/>
      <c r="J131" s="31"/>
      <c r="L131" s="31"/>
      <c r="M131" s="31"/>
      <c r="N131" s="31"/>
      <c r="O131" s="31"/>
      <c r="P131" s="31"/>
      <c r="Q131" s="31"/>
      <c r="R131" s="31"/>
      <c r="S131" s="31"/>
      <c r="T131" s="31"/>
      <c r="U131" s="31"/>
      <c r="V131" s="31"/>
      <c r="W131" s="31"/>
      <c r="X131" s="31"/>
      <c r="Y131" s="31"/>
      <c r="Z131" s="31"/>
      <c r="AA131" s="31"/>
    </row>
    <row r="132" ht="15.75" customHeight="1">
      <c r="A132" s="11" t="s">
        <v>2654</v>
      </c>
      <c r="B132" s="84"/>
      <c r="D132" s="47" t="s">
        <v>2655</v>
      </c>
      <c r="E132" s="11"/>
      <c r="F132" s="11"/>
      <c r="I132" s="31"/>
      <c r="J132" s="31"/>
      <c r="L132" s="31"/>
      <c r="M132" s="31"/>
      <c r="N132" s="31"/>
      <c r="O132" s="31"/>
      <c r="P132" s="31"/>
      <c r="Q132" s="31"/>
      <c r="R132" s="31"/>
      <c r="S132" s="31"/>
      <c r="T132" s="31"/>
      <c r="U132" s="31"/>
      <c r="V132" s="31"/>
      <c r="W132" s="31"/>
      <c r="X132" s="31"/>
      <c r="Y132" s="31"/>
      <c r="Z132" s="31"/>
      <c r="AA132" s="31"/>
    </row>
    <row r="133" ht="15.75" customHeight="1">
      <c r="A133" s="11" t="s">
        <v>2656</v>
      </c>
      <c r="B133" s="84"/>
      <c r="D133" s="47" t="s">
        <v>2657</v>
      </c>
      <c r="E133" s="11"/>
      <c r="F133" s="11"/>
      <c r="I133" s="31"/>
      <c r="J133" s="31"/>
      <c r="L133" s="31"/>
      <c r="M133" s="31"/>
      <c r="N133" s="31"/>
      <c r="O133" s="31"/>
      <c r="P133" s="31"/>
      <c r="Q133" s="31"/>
      <c r="R133" s="31"/>
      <c r="S133" s="31"/>
      <c r="T133" s="31"/>
      <c r="U133" s="31"/>
      <c r="V133" s="31"/>
      <c r="W133" s="31"/>
      <c r="X133" s="31"/>
      <c r="Y133" s="31"/>
      <c r="Z133" s="31"/>
      <c r="AA133" s="31"/>
    </row>
    <row r="134" ht="15.75" customHeight="1">
      <c r="A134" s="11" t="s">
        <v>2658</v>
      </c>
      <c r="B134" s="84"/>
      <c r="D134" s="47" t="s">
        <v>2659</v>
      </c>
      <c r="E134" s="11"/>
      <c r="F134" s="11"/>
      <c r="I134" s="31"/>
      <c r="J134" s="31"/>
      <c r="L134" s="31"/>
      <c r="M134" s="31"/>
      <c r="N134" s="31"/>
      <c r="O134" s="31"/>
      <c r="P134" s="31"/>
      <c r="Q134" s="31"/>
      <c r="R134" s="31"/>
      <c r="S134" s="31"/>
      <c r="T134" s="31"/>
      <c r="U134" s="31"/>
      <c r="V134" s="31"/>
      <c r="W134" s="31"/>
      <c r="X134" s="31"/>
      <c r="Y134" s="31"/>
      <c r="Z134" s="31"/>
      <c r="AA134" s="31"/>
    </row>
    <row r="135" ht="15.75" customHeight="1">
      <c r="A135" s="11" t="s">
        <v>2660</v>
      </c>
      <c r="B135" s="84"/>
      <c r="D135" s="47" t="s">
        <v>2661</v>
      </c>
      <c r="E135" s="11"/>
      <c r="F135" s="11"/>
      <c r="I135" s="31"/>
      <c r="J135" s="31"/>
      <c r="L135" s="31"/>
      <c r="M135" s="31"/>
      <c r="N135" s="31"/>
      <c r="O135" s="31"/>
      <c r="P135" s="31"/>
      <c r="Q135" s="31"/>
      <c r="R135" s="31"/>
      <c r="S135" s="31"/>
      <c r="T135" s="31"/>
      <c r="U135" s="31"/>
      <c r="V135" s="31"/>
      <c r="W135" s="31"/>
      <c r="X135" s="31"/>
      <c r="Y135" s="31"/>
      <c r="Z135" s="31"/>
      <c r="AA135" s="31"/>
    </row>
    <row r="136" ht="15.75" customHeight="1">
      <c r="A136" s="11" t="s">
        <v>2662</v>
      </c>
      <c r="B136" s="84"/>
      <c r="D136" s="47" t="s">
        <v>2663</v>
      </c>
      <c r="E136" s="11"/>
      <c r="F136" s="11"/>
      <c r="I136" s="31"/>
      <c r="J136" s="31"/>
      <c r="L136" s="31"/>
      <c r="M136" s="31"/>
      <c r="N136" s="31"/>
      <c r="O136" s="31"/>
      <c r="P136" s="31"/>
      <c r="Q136" s="31"/>
      <c r="R136" s="31"/>
      <c r="S136" s="31"/>
      <c r="T136" s="31"/>
      <c r="U136" s="31"/>
      <c r="V136" s="31"/>
      <c r="W136" s="31"/>
      <c r="X136" s="31"/>
      <c r="Y136" s="31"/>
      <c r="Z136" s="31"/>
      <c r="AA136" s="31"/>
    </row>
    <row r="137" ht="15.75" customHeight="1">
      <c r="A137" s="11" t="s">
        <v>2664</v>
      </c>
      <c r="B137" s="84"/>
      <c r="D137" s="47" t="s">
        <v>2665</v>
      </c>
      <c r="E137" s="11"/>
      <c r="F137" s="11"/>
      <c r="I137" s="31"/>
      <c r="J137" s="31"/>
      <c r="L137" s="31"/>
      <c r="M137" s="31"/>
      <c r="N137" s="31"/>
      <c r="O137" s="31"/>
      <c r="P137" s="31"/>
      <c r="Q137" s="31"/>
      <c r="R137" s="31"/>
      <c r="S137" s="31"/>
      <c r="T137" s="31"/>
      <c r="U137" s="31"/>
      <c r="V137" s="31"/>
      <c r="W137" s="31"/>
      <c r="X137" s="31"/>
      <c r="Y137" s="31"/>
      <c r="Z137" s="31"/>
      <c r="AA137" s="31"/>
    </row>
    <row r="138" ht="15.75" customHeight="1">
      <c r="A138" s="11" t="s">
        <v>2666</v>
      </c>
      <c r="B138" s="84"/>
      <c r="D138" s="47" t="s">
        <v>2667</v>
      </c>
      <c r="E138" s="11"/>
      <c r="F138" s="11"/>
      <c r="I138" s="31"/>
      <c r="J138" s="31"/>
      <c r="L138" s="31"/>
      <c r="M138" s="31"/>
      <c r="N138" s="31"/>
      <c r="O138" s="31"/>
      <c r="P138" s="31"/>
      <c r="Q138" s="31"/>
      <c r="R138" s="31"/>
      <c r="S138" s="31"/>
      <c r="T138" s="31"/>
      <c r="U138" s="31"/>
      <c r="V138" s="31"/>
      <c r="W138" s="31"/>
      <c r="X138" s="31"/>
      <c r="Y138" s="31"/>
      <c r="Z138" s="31"/>
      <c r="AA138" s="31"/>
    </row>
    <row r="139" ht="15.75" customHeight="1">
      <c r="A139" s="11" t="s">
        <v>2668</v>
      </c>
      <c r="B139" s="84"/>
      <c r="D139" s="47" t="s">
        <v>2669</v>
      </c>
      <c r="E139" s="11"/>
      <c r="F139" s="11"/>
      <c r="I139" s="31"/>
      <c r="J139" s="31"/>
      <c r="L139" s="31"/>
      <c r="M139" s="31"/>
      <c r="N139" s="31"/>
      <c r="O139" s="31"/>
      <c r="P139" s="31"/>
      <c r="Q139" s="31"/>
      <c r="R139" s="31"/>
      <c r="S139" s="31"/>
      <c r="T139" s="31"/>
      <c r="U139" s="31"/>
      <c r="V139" s="31"/>
      <c r="W139" s="31"/>
      <c r="X139" s="31"/>
      <c r="Y139" s="31"/>
      <c r="Z139" s="31"/>
      <c r="AA139" s="31"/>
    </row>
    <row r="140" ht="15.75" customHeight="1">
      <c r="A140" s="11" t="s">
        <v>2670</v>
      </c>
      <c r="B140" s="84"/>
      <c r="D140" s="47" t="s">
        <v>2671</v>
      </c>
      <c r="E140" s="11"/>
      <c r="F140" s="11"/>
      <c r="I140" s="31"/>
      <c r="J140" s="31"/>
      <c r="L140" s="31"/>
      <c r="M140" s="31"/>
      <c r="N140" s="31"/>
      <c r="O140" s="31"/>
      <c r="P140" s="31"/>
      <c r="Q140" s="31"/>
      <c r="R140" s="31"/>
      <c r="S140" s="31"/>
      <c r="T140" s="31"/>
      <c r="U140" s="31"/>
      <c r="V140" s="31"/>
      <c r="W140" s="31"/>
      <c r="X140" s="31"/>
      <c r="Y140" s="31"/>
      <c r="Z140" s="31"/>
      <c r="AA140" s="31"/>
    </row>
    <row r="141" ht="15.75" customHeight="1">
      <c r="A141" s="11" t="s">
        <v>2672</v>
      </c>
      <c r="B141" s="84"/>
      <c r="D141" s="47" t="s">
        <v>2673</v>
      </c>
      <c r="E141" s="11"/>
      <c r="F141" s="11"/>
      <c r="I141" s="31"/>
      <c r="J141" s="31"/>
      <c r="L141" s="31"/>
      <c r="M141" s="31"/>
      <c r="N141" s="31"/>
      <c r="O141" s="31"/>
      <c r="P141" s="31"/>
      <c r="Q141" s="31"/>
      <c r="R141" s="31"/>
      <c r="S141" s="31"/>
      <c r="T141" s="31"/>
      <c r="U141" s="31"/>
      <c r="V141" s="31"/>
      <c r="W141" s="31"/>
      <c r="X141" s="31"/>
      <c r="Y141" s="31"/>
      <c r="Z141" s="31"/>
      <c r="AA141" s="31"/>
    </row>
    <row r="142" ht="15.75" customHeight="1">
      <c r="A142" s="11" t="s">
        <v>2674</v>
      </c>
      <c r="B142" s="84"/>
      <c r="D142" s="47" t="s">
        <v>2675</v>
      </c>
      <c r="E142" s="11"/>
      <c r="F142" s="11"/>
      <c r="I142" s="31"/>
      <c r="J142" s="31"/>
      <c r="L142" s="31"/>
      <c r="M142" s="31"/>
      <c r="N142" s="31"/>
      <c r="O142" s="31"/>
      <c r="P142" s="31"/>
      <c r="Q142" s="31"/>
      <c r="R142" s="31"/>
      <c r="S142" s="31"/>
      <c r="T142" s="31"/>
      <c r="U142" s="31"/>
      <c r="V142" s="31"/>
      <c r="W142" s="31"/>
      <c r="X142" s="31"/>
      <c r="Y142" s="31"/>
      <c r="Z142" s="31"/>
      <c r="AA142" s="31"/>
    </row>
    <row r="143" ht="15.75" customHeight="1">
      <c r="A143" s="11" t="s">
        <v>2676</v>
      </c>
      <c r="B143" s="84"/>
      <c r="D143" s="47" t="s">
        <v>2677</v>
      </c>
      <c r="E143" s="11"/>
      <c r="F143" s="11"/>
      <c r="I143" s="31"/>
      <c r="J143" s="31"/>
      <c r="L143" s="31"/>
      <c r="M143" s="31"/>
      <c r="N143" s="31"/>
      <c r="O143" s="31"/>
      <c r="P143" s="31"/>
      <c r="Q143" s="31"/>
      <c r="R143" s="31"/>
      <c r="S143" s="31"/>
      <c r="T143" s="31"/>
      <c r="U143" s="31"/>
      <c r="V143" s="31"/>
      <c r="W143" s="31"/>
      <c r="X143" s="31"/>
      <c r="Y143" s="31"/>
      <c r="Z143" s="31"/>
      <c r="AA143" s="31"/>
    </row>
    <row r="144" ht="15.75" customHeight="1">
      <c r="A144" s="11" t="s">
        <v>2678</v>
      </c>
      <c r="B144" s="84"/>
      <c r="D144" s="87" t="s">
        <v>2679</v>
      </c>
      <c r="E144" s="11"/>
      <c r="F144" s="11"/>
      <c r="I144" s="31"/>
      <c r="J144" s="31"/>
      <c r="L144" s="31"/>
      <c r="M144" s="31"/>
      <c r="N144" s="31"/>
      <c r="O144" s="31"/>
      <c r="P144" s="31"/>
      <c r="Q144" s="31"/>
      <c r="R144" s="31"/>
      <c r="S144" s="31"/>
      <c r="T144" s="31"/>
      <c r="U144" s="31"/>
      <c r="V144" s="31"/>
      <c r="W144" s="31"/>
      <c r="X144" s="31"/>
      <c r="Y144" s="31"/>
      <c r="Z144" s="31"/>
      <c r="AA144" s="31"/>
    </row>
    <row r="145" ht="15.75" customHeight="1">
      <c r="A145" s="11" t="s">
        <v>2680</v>
      </c>
      <c r="B145" s="84"/>
      <c r="D145" s="47" t="s">
        <v>2681</v>
      </c>
      <c r="E145" s="11"/>
      <c r="F145" s="11"/>
      <c r="I145" s="31"/>
      <c r="J145" s="31"/>
      <c r="L145" s="31"/>
      <c r="M145" s="31"/>
      <c r="N145" s="31"/>
      <c r="O145" s="31"/>
      <c r="P145" s="31"/>
      <c r="Q145" s="31"/>
      <c r="R145" s="31"/>
      <c r="S145" s="31"/>
      <c r="T145" s="31"/>
      <c r="U145" s="31"/>
      <c r="V145" s="31"/>
      <c r="W145" s="31"/>
      <c r="X145" s="31"/>
      <c r="Y145" s="31"/>
      <c r="Z145" s="31"/>
      <c r="AA145" s="31"/>
    </row>
    <row r="146" ht="15.75" customHeight="1">
      <c r="A146" s="11" t="s">
        <v>2682</v>
      </c>
      <c r="B146" s="84"/>
      <c r="D146" s="87" t="s">
        <v>2683</v>
      </c>
      <c r="E146" s="11"/>
      <c r="F146" s="11"/>
      <c r="I146" s="31"/>
      <c r="J146" s="31"/>
      <c r="L146" s="31"/>
      <c r="M146" s="31"/>
      <c r="N146" s="31"/>
      <c r="O146" s="31"/>
      <c r="P146" s="31"/>
      <c r="Q146" s="31"/>
      <c r="R146" s="31"/>
      <c r="S146" s="31"/>
      <c r="T146" s="31"/>
      <c r="U146" s="31"/>
      <c r="V146" s="31"/>
      <c r="W146" s="31"/>
      <c r="X146" s="31"/>
      <c r="Y146" s="31"/>
      <c r="Z146" s="31"/>
      <c r="AA146" s="31"/>
    </row>
    <row r="147" ht="15.75" customHeight="1">
      <c r="A147" s="11" t="s">
        <v>2684</v>
      </c>
      <c r="B147" s="84"/>
      <c r="D147" s="87" t="s">
        <v>2685</v>
      </c>
      <c r="E147" s="11"/>
      <c r="F147" s="11"/>
      <c r="I147" s="31"/>
      <c r="J147" s="31"/>
      <c r="L147" s="31"/>
      <c r="M147" s="31"/>
      <c r="N147" s="31"/>
      <c r="O147" s="31"/>
      <c r="P147" s="31"/>
      <c r="Q147" s="31"/>
      <c r="R147" s="31"/>
      <c r="S147" s="31"/>
      <c r="T147" s="31"/>
      <c r="U147" s="31"/>
      <c r="V147" s="31"/>
      <c r="W147" s="31"/>
      <c r="X147" s="31"/>
      <c r="Y147" s="31"/>
      <c r="Z147" s="31"/>
      <c r="AA147" s="31"/>
    </row>
    <row r="148" ht="15.75" customHeight="1">
      <c r="A148" s="11" t="s">
        <v>2686</v>
      </c>
      <c r="B148" s="84"/>
      <c r="D148" s="87" t="s">
        <v>2687</v>
      </c>
      <c r="E148" s="11"/>
      <c r="F148" s="11"/>
      <c r="I148" s="31"/>
      <c r="J148" s="31"/>
      <c r="L148" s="31"/>
      <c r="M148" s="31"/>
      <c r="N148" s="31"/>
      <c r="O148" s="31"/>
      <c r="P148" s="31"/>
      <c r="Q148" s="31"/>
      <c r="R148" s="31"/>
      <c r="S148" s="31"/>
      <c r="T148" s="31"/>
      <c r="U148" s="31"/>
      <c r="V148" s="31"/>
      <c r="W148" s="31"/>
      <c r="X148" s="31"/>
      <c r="Y148" s="31"/>
      <c r="Z148" s="31"/>
      <c r="AA148" s="31"/>
    </row>
    <row r="149" ht="15.75" customHeight="1">
      <c r="A149" s="11" t="s">
        <v>2688</v>
      </c>
      <c r="B149" s="84"/>
      <c r="C149" s="11">
        <v>1999.0</v>
      </c>
      <c r="D149" s="87" t="s">
        <v>2689</v>
      </c>
      <c r="E149" s="11" t="s">
        <v>2311</v>
      </c>
      <c r="F149" s="11"/>
      <c r="I149" s="31"/>
      <c r="J149" s="31"/>
      <c r="L149" s="31"/>
      <c r="M149" s="31"/>
      <c r="N149" s="31"/>
      <c r="O149" s="31"/>
      <c r="P149" s="31"/>
      <c r="Q149" s="31"/>
      <c r="R149" s="31"/>
      <c r="S149" s="31"/>
      <c r="T149" s="31"/>
      <c r="U149" s="31"/>
      <c r="V149" s="31"/>
      <c r="W149" s="31"/>
      <c r="X149" s="31"/>
      <c r="Y149" s="31"/>
      <c r="Z149" s="31"/>
      <c r="AA149" s="31"/>
    </row>
    <row r="150" ht="15.75" customHeight="1">
      <c r="A150" s="11" t="s">
        <v>2690</v>
      </c>
      <c r="B150" s="84"/>
      <c r="D150" s="87" t="s">
        <v>2691</v>
      </c>
      <c r="E150" s="11"/>
      <c r="F150" s="11"/>
      <c r="I150" s="31"/>
      <c r="J150" s="31"/>
      <c r="L150" s="31"/>
      <c r="M150" s="31"/>
      <c r="N150" s="31"/>
      <c r="O150" s="31"/>
      <c r="P150" s="31"/>
      <c r="Q150" s="31"/>
      <c r="R150" s="31"/>
      <c r="S150" s="31"/>
      <c r="T150" s="31"/>
      <c r="U150" s="31"/>
      <c r="V150" s="31"/>
      <c r="W150" s="31"/>
      <c r="X150" s="31"/>
      <c r="Y150" s="31"/>
      <c r="Z150" s="31"/>
      <c r="AA150" s="31"/>
    </row>
    <row r="151" ht="15.75" customHeight="1">
      <c r="A151" s="11" t="s">
        <v>2692</v>
      </c>
      <c r="B151" s="84"/>
      <c r="D151" s="87" t="s">
        <v>2693</v>
      </c>
      <c r="E151" s="11"/>
      <c r="F151" s="11"/>
      <c r="I151" s="31"/>
      <c r="J151" s="31"/>
      <c r="L151" s="31"/>
      <c r="M151" s="31"/>
      <c r="N151" s="31"/>
      <c r="O151" s="31"/>
      <c r="P151" s="31"/>
      <c r="Q151" s="31"/>
      <c r="R151" s="31"/>
      <c r="S151" s="31"/>
      <c r="T151" s="31"/>
      <c r="U151" s="31"/>
      <c r="V151" s="31"/>
      <c r="W151" s="31"/>
      <c r="X151" s="31"/>
      <c r="Y151" s="31"/>
      <c r="Z151" s="31"/>
      <c r="AA151" s="31"/>
    </row>
    <row r="152" ht="15.75" customHeight="1">
      <c r="A152" s="11" t="s">
        <v>2694</v>
      </c>
      <c r="B152" s="84"/>
      <c r="D152" s="90" t="s">
        <v>2695</v>
      </c>
      <c r="E152" s="11"/>
      <c r="F152" s="11"/>
      <c r="I152" s="31"/>
      <c r="J152" s="31"/>
      <c r="L152" s="31"/>
      <c r="M152" s="31"/>
      <c r="N152" s="31"/>
      <c r="O152" s="31"/>
      <c r="P152" s="31"/>
      <c r="Q152" s="31"/>
      <c r="R152" s="31"/>
      <c r="S152" s="31"/>
      <c r="T152" s="31"/>
      <c r="U152" s="31"/>
      <c r="V152" s="31"/>
      <c r="W152" s="31"/>
      <c r="X152" s="31"/>
      <c r="Y152" s="31"/>
      <c r="Z152" s="31"/>
      <c r="AA152" s="31"/>
    </row>
    <row r="153" ht="15.75" customHeight="1">
      <c r="A153" s="92" t="s">
        <v>2696</v>
      </c>
      <c r="B153" s="84"/>
      <c r="D153" s="90" t="s">
        <v>2697</v>
      </c>
      <c r="E153" s="11"/>
      <c r="F153" s="11"/>
      <c r="I153" s="31"/>
      <c r="J153" s="31"/>
      <c r="L153" s="31"/>
      <c r="M153" s="31"/>
      <c r="N153" s="31"/>
      <c r="O153" s="31"/>
      <c r="P153" s="31"/>
      <c r="Q153" s="31"/>
      <c r="R153" s="31"/>
      <c r="S153" s="31"/>
      <c r="T153" s="31"/>
      <c r="U153" s="31"/>
      <c r="V153" s="31"/>
      <c r="W153" s="31"/>
      <c r="X153" s="31"/>
      <c r="Y153" s="31"/>
      <c r="Z153" s="31"/>
      <c r="AA153" s="31"/>
    </row>
    <row r="154" ht="15.75" customHeight="1">
      <c r="A154" s="92" t="s">
        <v>2698</v>
      </c>
      <c r="B154" s="84"/>
      <c r="D154" s="90" t="s">
        <v>2699</v>
      </c>
      <c r="E154" s="11"/>
      <c r="F154" s="11"/>
      <c r="I154" s="31"/>
      <c r="J154" s="31"/>
      <c r="K154" s="11" t="s">
        <v>2700</v>
      </c>
      <c r="L154" s="31"/>
      <c r="M154" s="31"/>
      <c r="N154" s="31"/>
      <c r="O154" s="31"/>
      <c r="P154" s="31"/>
      <c r="Q154" s="31"/>
      <c r="R154" s="31"/>
      <c r="S154" s="31"/>
      <c r="T154" s="31"/>
      <c r="U154" s="31"/>
      <c r="V154" s="31"/>
      <c r="W154" s="31"/>
      <c r="X154" s="31"/>
      <c r="Y154" s="31"/>
      <c r="Z154" s="31"/>
      <c r="AA154" s="31"/>
    </row>
    <row r="155" ht="15.75" customHeight="1">
      <c r="A155" s="11" t="s">
        <v>2701</v>
      </c>
      <c r="B155" s="84"/>
      <c r="D155" s="90" t="s">
        <v>2702</v>
      </c>
      <c r="E155" s="11"/>
      <c r="F155" s="11"/>
      <c r="I155" s="31"/>
      <c r="J155" s="31"/>
      <c r="L155" s="31"/>
      <c r="M155" s="31"/>
      <c r="N155" s="31"/>
      <c r="O155" s="31"/>
      <c r="P155" s="31"/>
      <c r="Q155" s="31"/>
      <c r="R155" s="31"/>
      <c r="S155" s="31"/>
      <c r="T155" s="31"/>
      <c r="U155" s="31"/>
      <c r="V155" s="31"/>
      <c r="W155" s="31"/>
      <c r="X155" s="31"/>
      <c r="Y155" s="31"/>
      <c r="Z155" s="31"/>
      <c r="AA155" s="31"/>
    </row>
    <row r="156" ht="15.75" customHeight="1">
      <c r="A156" s="11" t="s">
        <v>2703</v>
      </c>
      <c r="B156" s="84"/>
      <c r="D156" s="90" t="s">
        <v>2704</v>
      </c>
      <c r="E156" s="11"/>
      <c r="F156" s="11"/>
      <c r="I156" s="31"/>
      <c r="J156" s="31"/>
      <c r="L156" s="31"/>
      <c r="M156" s="31"/>
      <c r="N156" s="31"/>
      <c r="O156" s="31"/>
      <c r="P156" s="31"/>
      <c r="Q156" s="31"/>
      <c r="R156" s="31"/>
      <c r="S156" s="31"/>
      <c r="T156" s="31"/>
      <c r="U156" s="31"/>
      <c r="V156" s="31"/>
      <c r="W156" s="31"/>
      <c r="X156" s="31"/>
      <c r="Y156" s="31"/>
      <c r="Z156" s="31"/>
      <c r="AA156" s="31"/>
    </row>
    <row r="157" ht="15.75" customHeight="1">
      <c r="A157" s="11" t="s">
        <v>2705</v>
      </c>
      <c r="B157" s="84" t="s">
        <v>2493</v>
      </c>
      <c r="C157" s="11">
        <v>2012.0</v>
      </c>
      <c r="D157" s="89" t="s">
        <v>2706</v>
      </c>
      <c r="E157" s="11" t="s">
        <v>2291</v>
      </c>
      <c r="F157" s="11"/>
      <c r="G157" s="88">
        <v>43779.0</v>
      </c>
      <c r="H157" s="11" t="s">
        <v>2707</v>
      </c>
      <c r="I157" s="85" t="s">
        <v>2708</v>
      </c>
      <c r="J157" s="31"/>
      <c r="L157" s="85" t="s">
        <v>2706</v>
      </c>
      <c r="M157" s="31"/>
      <c r="N157" s="31"/>
      <c r="O157" s="31"/>
      <c r="P157" s="31"/>
      <c r="Q157" s="31"/>
      <c r="R157" s="31"/>
      <c r="S157" s="31"/>
      <c r="T157" s="31"/>
      <c r="U157" s="31"/>
      <c r="V157" s="31"/>
      <c r="W157" s="31"/>
      <c r="X157" s="31"/>
      <c r="Y157" s="31"/>
      <c r="Z157" s="31"/>
      <c r="AA157" s="31"/>
    </row>
    <row r="158" ht="15.75" customHeight="1">
      <c r="A158" s="11" t="s">
        <v>2709</v>
      </c>
      <c r="B158" s="84"/>
      <c r="D158" s="93" t="s">
        <v>2710</v>
      </c>
      <c r="E158" s="11" t="s">
        <v>2711</v>
      </c>
      <c r="F158" s="11"/>
      <c r="I158" s="85" t="s">
        <v>2712</v>
      </c>
      <c r="J158" s="31"/>
      <c r="L158" s="31"/>
      <c r="M158" s="31"/>
      <c r="N158" s="31"/>
      <c r="O158" s="31"/>
      <c r="P158" s="31"/>
      <c r="Q158" s="31"/>
      <c r="R158" s="31"/>
      <c r="S158" s="31"/>
      <c r="T158" s="31"/>
      <c r="U158" s="31"/>
      <c r="V158" s="31"/>
      <c r="W158" s="31"/>
      <c r="X158" s="31"/>
      <c r="Y158" s="31"/>
      <c r="Z158" s="31"/>
      <c r="AA158" s="31"/>
    </row>
    <row r="159" ht="15.75" customHeight="1">
      <c r="A159" s="11" t="s">
        <v>2713</v>
      </c>
      <c r="B159" s="84"/>
      <c r="D159" s="89" t="s">
        <v>2714</v>
      </c>
      <c r="E159" s="11"/>
      <c r="F159" s="11"/>
      <c r="I159" s="31"/>
      <c r="J159" s="31"/>
      <c r="L159" s="31"/>
      <c r="M159" s="31"/>
      <c r="N159" s="31"/>
      <c r="O159" s="31"/>
      <c r="P159" s="31"/>
      <c r="Q159" s="31"/>
      <c r="R159" s="31"/>
      <c r="S159" s="31"/>
      <c r="T159" s="31"/>
      <c r="U159" s="31"/>
      <c r="V159" s="31"/>
      <c r="W159" s="31"/>
      <c r="X159" s="31"/>
      <c r="Y159" s="31"/>
      <c r="Z159" s="31"/>
      <c r="AA159" s="31"/>
    </row>
    <row r="160" ht="15.75" customHeight="1">
      <c r="A160" s="11" t="s">
        <v>2715</v>
      </c>
      <c r="B160" s="84"/>
      <c r="D160" s="87" t="s">
        <v>2716</v>
      </c>
      <c r="E160" s="11"/>
      <c r="F160" s="11"/>
      <c r="I160" s="85" t="s">
        <v>2717</v>
      </c>
      <c r="J160" s="31"/>
      <c r="K160" s="11" t="s">
        <v>2718</v>
      </c>
      <c r="L160" s="31"/>
      <c r="M160" s="31"/>
      <c r="N160" s="31"/>
      <c r="O160" s="31"/>
      <c r="P160" s="31"/>
      <c r="Q160" s="31"/>
      <c r="R160" s="31"/>
      <c r="S160" s="31"/>
      <c r="T160" s="31"/>
      <c r="U160" s="31"/>
      <c r="V160" s="31"/>
      <c r="W160" s="31"/>
      <c r="X160" s="31"/>
      <c r="Y160" s="31"/>
      <c r="Z160" s="31"/>
      <c r="AA160" s="31"/>
    </row>
    <row r="161" ht="15.75" customHeight="1">
      <c r="A161" s="11" t="s">
        <v>2719</v>
      </c>
      <c r="B161" s="84"/>
      <c r="D161" s="89" t="s">
        <v>2720</v>
      </c>
      <c r="E161" s="11"/>
      <c r="F161" s="11"/>
      <c r="I161" s="31"/>
      <c r="J161" s="31"/>
      <c r="L161" s="31"/>
      <c r="M161" s="31"/>
      <c r="N161" s="31"/>
      <c r="O161" s="31"/>
      <c r="P161" s="31"/>
      <c r="Q161" s="31"/>
      <c r="R161" s="31"/>
      <c r="S161" s="31"/>
      <c r="T161" s="31"/>
      <c r="U161" s="31"/>
      <c r="V161" s="31"/>
      <c r="W161" s="31"/>
      <c r="X161" s="31"/>
      <c r="Y161" s="31"/>
      <c r="Z161" s="31"/>
      <c r="AA161" s="31"/>
    </row>
    <row r="162" ht="15.75" customHeight="1">
      <c r="A162" s="11" t="s">
        <v>2721</v>
      </c>
      <c r="B162" s="84"/>
      <c r="D162" s="94" t="s">
        <v>2722</v>
      </c>
      <c r="E162" s="11"/>
      <c r="F162" s="11"/>
      <c r="I162" s="31"/>
      <c r="J162" s="31"/>
      <c r="L162" s="31"/>
      <c r="M162" s="31"/>
      <c r="N162" s="31"/>
      <c r="O162" s="31"/>
      <c r="P162" s="31"/>
      <c r="Q162" s="31"/>
      <c r="R162" s="31"/>
      <c r="S162" s="31"/>
      <c r="T162" s="31"/>
      <c r="U162" s="31"/>
      <c r="V162" s="31"/>
      <c r="W162" s="31"/>
      <c r="X162" s="31"/>
      <c r="Y162" s="31"/>
      <c r="Z162" s="31"/>
      <c r="AA162" s="31"/>
    </row>
    <row r="163" ht="15.75" customHeight="1">
      <c r="A163" s="11" t="s">
        <v>2723</v>
      </c>
      <c r="B163" s="84"/>
      <c r="D163" s="94" t="s">
        <v>2710</v>
      </c>
      <c r="E163" s="11" t="s">
        <v>2711</v>
      </c>
      <c r="F163" s="11"/>
      <c r="I163" s="85" t="s">
        <v>2724</v>
      </c>
      <c r="J163" s="31"/>
      <c r="L163" s="31"/>
      <c r="M163" s="31"/>
      <c r="N163" s="31"/>
      <c r="O163" s="31"/>
      <c r="P163" s="31"/>
      <c r="Q163" s="31"/>
      <c r="R163" s="31"/>
      <c r="S163" s="31"/>
      <c r="T163" s="31"/>
      <c r="U163" s="31"/>
      <c r="V163" s="31"/>
      <c r="W163" s="31"/>
      <c r="X163" s="31"/>
      <c r="Y163" s="31"/>
      <c r="Z163" s="31"/>
      <c r="AA163" s="31"/>
    </row>
    <row r="164" ht="15.75" customHeight="1">
      <c r="A164" s="11" t="s">
        <v>2725</v>
      </c>
      <c r="B164" s="84"/>
      <c r="D164" s="87" t="s">
        <v>2726</v>
      </c>
      <c r="E164" s="11"/>
      <c r="F164" s="11"/>
      <c r="G164" s="88">
        <v>43765.0</v>
      </c>
      <c r="I164" s="31"/>
      <c r="J164" s="31"/>
      <c r="L164" s="31"/>
      <c r="M164" s="31"/>
      <c r="N164" s="31"/>
      <c r="O164" s="31"/>
      <c r="P164" s="31"/>
      <c r="Q164" s="31"/>
      <c r="R164" s="31"/>
      <c r="S164" s="31"/>
      <c r="T164" s="31"/>
      <c r="U164" s="31"/>
      <c r="V164" s="31"/>
      <c r="W164" s="31"/>
      <c r="X164" s="31"/>
      <c r="Y164" s="31"/>
      <c r="Z164" s="31"/>
      <c r="AA164" s="31"/>
      <c r="AB164" s="11" t="s">
        <v>172</v>
      </c>
    </row>
    <row r="165" ht="15.75" customHeight="1">
      <c r="A165" s="11" t="s">
        <v>2727</v>
      </c>
      <c r="B165" s="84" t="s">
        <v>2420</v>
      </c>
      <c r="D165" s="87" t="s">
        <v>2728</v>
      </c>
      <c r="E165" s="11" t="s">
        <v>2329</v>
      </c>
      <c r="F165" s="11"/>
      <c r="G165" s="88">
        <v>43767.0</v>
      </c>
      <c r="I165" s="31"/>
      <c r="J165" s="31"/>
      <c r="L165" s="31"/>
      <c r="M165" s="31"/>
      <c r="N165" s="31"/>
      <c r="O165" s="31"/>
      <c r="P165" s="31"/>
      <c r="Q165" s="31"/>
      <c r="R165" s="31"/>
      <c r="S165" s="31"/>
      <c r="T165" s="31"/>
      <c r="U165" s="31"/>
      <c r="V165" s="31"/>
      <c r="W165" s="31"/>
      <c r="X165" s="31"/>
      <c r="Y165" s="31"/>
      <c r="Z165" s="31"/>
      <c r="AA165" s="31"/>
    </row>
    <row r="166" ht="15.75" customHeight="1">
      <c r="A166" s="11" t="s">
        <v>2729</v>
      </c>
      <c r="B166" s="84"/>
      <c r="C166" s="11">
        <v>1973.0</v>
      </c>
      <c r="D166" s="47" t="s">
        <v>2730</v>
      </c>
      <c r="E166" s="11" t="s">
        <v>2291</v>
      </c>
      <c r="F166" s="11"/>
      <c r="G166" s="88">
        <v>43773.0</v>
      </c>
      <c r="I166" s="31"/>
      <c r="J166" s="31"/>
      <c r="K166" s="11" t="s">
        <v>2731</v>
      </c>
      <c r="L166" s="31"/>
      <c r="M166" s="31"/>
      <c r="N166" s="31"/>
      <c r="O166" s="31"/>
      <c r="P166" s="31"/>
      <c r="Q166" s="31"/>
      <c r="R166" s="31"/>
      <c r="S166" s="31"/>
      <c r="T166" s="31"/>
      <c r="U166" s="31"/>
      <c r="V166" s="31"/>
      <c r="W166" s="31"/>
      <c r="X166" s="31"/>
      <c r="Y166" s="31"/>
      <c r="Z166" s="31"/>
      <c r="AA166" s="31"/>
    </row>
    <row r="167" ht="15.75" customHeight="1">
      <c r="A167" s="11" t="s">
        <v>2732</v>
      </c>
      <c r="B167" s="84"/>
      <c r="D167" s="87" t="s">
        <v>2733</v>
      </c>
      <c r="E167" s="11" t="s">
        <v>2291</v>
      </c>
      <c r="F167" s="11"/>
      <c r="G167" s="88">
        <v>43773.0</v>
      </c>
      <c r="I167" s="31"/>
      <c r="J167" s="31"/>
      <c r="L167" s="85" t="s">
        <v>2733</v>
      </c>
      <c r="M167" s="31"/>
      <c r="N167" s="31"/>
      <c r="O167" s="31"/>
      <c r="P167" s="31"/>
      <c r="Q167" s="31"/>
      <c r="R167" s="31"/>
      <c r="S167" s="31"/>
      <c r="T167" s="31"/>
      <c r="U167" s="31"/>
      <c r="V167" s="31"/>
      <c r="W167" s="31"/>
      <c r="X167" s="31"/>
      <c r="Y167" s="31"/>
      <c r="Z167" s="31"/>
      <c r="AA167" s="31"/>
    </row>
    <row r="168" ht="15.75" customHeight="1">
      <c r="A168" s="11" t="s">
        <v>2734</v>
      </c>
      <c r="B168" s="84"/>
      <c r="D168" s="89" t="s">
        <v>2735</v>
      </c>
      <c r="E168" s="11" t="s">
        <v>2291</v>
      </c>
      <c r="F168" s="11"/>
      <c r="G168" s="88">
        <v>43773.0</v>
      </c>
      <c r="I168" s="31"/>
      <c r="J168" s="31"/>
      <c r="L168" s="85" t="s">
        <v>2735</v>
      </c>
      <c r="M168" s="31"/>
      <c r="N168" s="31"/>
      <c r="O168" s="31"/>
      <c r="P168" s="31"/>
      <c r="Q168" s="31"/>
      <c r="R168" s="31"/>
      <c r="S168" s="31"/>
      <c r="T168" s="31"/>
      <c r="U168" s="31"/>
      <c r="V168" s="31"/>
      <c r="W168" s="31"/>
      <c r="X168" s="31"/>
      <c r="Y168" s="31"/>
      <c r="Z168" s="31"/>
      <c r="AA168" s="31"/>
    </row>
    <row r="169" ht="15.75" customHeight="1">
      <c r="A169" s="11" t="s">
        <v>2736</v>
      </c>
      <c r="B169" s="84"/>
      <c r="D169" s="87" t="s">
        <v>2737</v>
      </c>
      <c r="E169" s="11" t="s">
        <v>2291</v>
      </c>
      <c r="F169" s="11"/>
      <c r="G169" s="88">
        <v>43773.0</v>
      </c>
      <c r="I169" s="31"/>
      <c r="J169" s="31"/>
      <c r="L169" s="85" t="s">
        <v>2737</v>
      </c>
      <c r="M169" s="31"/>
      <c r="N169" s="31"/>
      <c r="O169" s="31"/>
      <c r="P169" s="31"/>
      <c r="Q169" s="31"/>
      <c r="R169" s="31"/>
      <c r="S169" s="31"/>
      <c r="T169" s="31"/>
      <c r="U169" s="31"/>
      <c r="V169" s="31"/>
      <c r="W169" s="31"/>
      <c r="X169" s="31"/>
      <c r="Y169" s="31"/>
      <c r="Z169" s="31"/>
      <c r="AA169" s="31"/>
    </row>
    <row r="170" ht="15.75" customHeight="1">
      <c r="A170" s="11" t="s">
        <v>2738</v>
      </c>
      <c r="B170" s="84" t="s">
        <v>2420</v>
      </c>
      <c r="D170" s="89" t="s">
        <v>2739</v>
      </c>
      <c r="E170" s="11" t="s">
        <v>2291</v>
      </c>
      <c r="F170" s="11"/>
      <c r="G170" s="88">
        <v>43795.0</v>
      </c>
      <c r="I170" s="31"/>
      <c r="J170" s="31"/>
      <c r="L170" s="31"/>
      <c r="M170" s="31"/>
      <c r="N170" s="31"/>
      <c r="O170" s="31"/>
      <c r="P170" s="31"/>
      <c r="Q170" s="31"/>
      <c r="R170" s="31"/>
      <c r="S170" s="31"/>
      <c r="T170" s="31"/>
      <c r="U170" s="31"/>
      <c r="V170" s="31"/>
      <c r="W170" s="31"/>
      <c r="X170" s="31"/>
      <c r="Y170" s="31"/>
      <c r="Z170" s="31"/>
      <c r="AA170" s="31"/>
    </row>
    <row r="171" ht="15.75" customHeight="1">
      <c r="A171" s="11" t="s">
        <v>2740</v>
      </c>
      <c r="B171" s="84" t="s">
        <v>2356</v>
      </c>
      <c r="D171" s="89" t="s">
        <v>2741</v>
      </c>
      <c r="E171" s="11" t="s">
        <v>2291</v>
      </c>
      <c r="F171" s="11"/>
      <c r="G171" s="86">
        <v>43803.0</v>
      </c>
      <c r="H171" s="11" t="s">
        <v>2742</v>
      </c>
      <c r="I171" s="31"/>
      <c r="J171" s="31"/>
      <c r="L171" s="31"/>
      <c r="M171" s="31"/>
      <c r="N171" s="31"/>
      <c r="O171" s="31"/>
      <c r="P171" s="31"/>
      <c r="Q171" s="31"/>
      <c r="R171" s="31"/>
      <c r="S171" s="31"/>
      <c r="T171" s="31"/>
      <c r="U171" s="31"/>
      <c r="V171" s="31"/>
      <c r="W171" s="31"/>
      <c r="X171" s="31"/>
      <c r="Y171" s="31"/>
      <c r="Z171" s="31"/>
      <c r="AA171" s="31"/>
    </row>
    <row r="172" ht="15.75" customHeight="1">
      <c r="A172" s="11" t="s">
        <v>2743</v>
      </c>
      <c r="B172" s="84" t="s">
        <v>2356</v>
      </c>
      <c r="D172" s="87" t="s">
        <v>2744</v>
      </c>
      <c r="E172" s="11" t="s">
        <v>2291</v>
      </c>
      <c r="F172" s="11"/>
      <c r="G172" s="86">
        <v>43803.0</v>
      </c>
      <c r="I172" s="31"/>
      <c r="J172" s="31"/>
      <c r="L172" s="31"/>
      <c r="M172" s="31"/>
      <c r="N172" s="31"/>
      <c r="O172" s="31"/>
      <c r="P172" s="31"/>
      <c r="Q172" s="31"/>
      <c r="R172" s="31"/>
      <c r="S172" s="31"/>
      <c r="T172" s="31"/>
      <c r="U172" s="31"/>
      <c r="V172" s="31"/>
      <c r="W172" s="31"/>
      <c r="X172" s="31"/>
      <c r="Y172" s="31"/>
      <c r="Z172" s="31"/>
      <c r="AA172" s="31"/>
    </row>
    <row r="173" ht="15.75" customHeight="1">
      <c r="A173" s="11" t="s">
        <v>2745</v>
      </c>
      <c r="B173" s="84" t="s">
        <v>2356</v>
      </c>
      <c r="D173" s="89" t="s">
        <v>2746</v>
      </c>
      <c r="E173" s="11" t="s">
        <v>2291</v>
      </c>
      <c r="F173" s="11"/>
      <c r="G173" s="86">
        <v>43803.0</v>
      </c>
      <c r="I173" s="31"/>
      <c r="J173" s="31"/>
      <c r="L173" s="31"/>
      <c r="M173" s="31"/>
      <c r="N173" s="31"/>
      <c r="O173" s="31"/>
      <c r="P173" s="31"/>
      <c r="Q173" s="31"/>
      <c r="R173" s="31"/>
      <c r="S173" s="31"/>
      <c r="T173" s="31"/>
      <c r="U173" s="31"/>
      <c r="V173" s="31"/>
      <c r="W173" s="31"/>
      <c r="X173" s="31"/>
      <c r="Y173" s="31"/>
      <c r="Z173" s="31"/>
      <c r="AA173" s="31"/>
    </row>
    <row r="174" ht="15.75" customHeight="1">
      <c r="A174" s="11" t="s">
        <v>2747</v>
      </c>
      <c r="B174" s="84" t="s">
        <v>2420</v>
      </c>
      <c r="D174" s="47" t="s">
        <v>2748</v>
      </c>
      <c r="E174" s="11" t="s">
        <v>2291</v>
      </c>
      <c r="F174" s="11"/>
      <c r="G174" s="86">
        <v>43803.0</v>
      </c>
      <c r="I174" s="31"/>
      <c r="J174" s="31"/>
      <c r="L174" s="31"/>
      <c r="M174" s="31"/>
      <c r="N174" s="31"/>
      <c r="O174" s="31"/>
      <c r="P174" s="31"/>
      <c r="Q174" s="31"/>
      <c r="R174" s="47" t="s">
        <v>2748</v>
      </c>
      <c r="S174" s="31"/>
      <c r="T174" s="31"/>
      <c r="U174" s="31"/>
      <c r="V174" s="31"/>
      <c r="W174" s="31"/>
      <c r="X174" s="31"/>
      <c r="Y174" s="31"/>
      <c r="Z174" s="31"/>
      <c r="AA174" s="31"/>
    </row>
    <row r="175" ht="15.75" customHeight="1">
      <c r="A175" s="11" t="s">
        <v>2749</v>
      </c>
      <c r="B175" s="84" t="s">
        <v>2420</v>
      </c>
      <c r="C175" s="11">
        <v>2014.0</v>
      </c>
      <c r="D175" s="87" t="s">
        <v>2750</v>
      </c>
      <c r="E175" s="11" t="s">
        <v>2291</v>
      </c>
      <c r="F175" s="11"/>
      <c r="G175" s="86">
        <v>43807.0</v>
      </c>
      <c r="H175" s="11" t="s">
        <v>2751</v>
      </c>
      <c r="I175" s="85" t="s">
        <v>2752</v>
      </c>
      <c r="J175" s="31"/>
      <c r="K175" s="11" t="s">
        <v>2753</v>
      </c>
      <c r="L175" s="31"/>
      <c r="M175" s="31"/>
      <c r="N175" s="31"/>
      <c r="O175" s="31"/>
      <c r="P175" s="31"/>
      <c r="Q175" s="31"/>
      <c r="R175" s="31"/>
      <c r="S175" s="31"/>
      <c r="T175" s="85" t="s">
        <v>2750</v>
      </c>
      <c r="U175" s="31"/>
      <c r="V175" s="31"/>
      <c r="W175" s="31"/>
      <c r="X175" s="31"/>
      <c r="Y175" s="31"/>
      <c r="Z175" s="31"/>
      <c r="AA175" s="31"/>
    </row>
    <row r="176" ht="15.75" customHeight="1">
      <c r="A176" s="11" t="s">
        <v>2754</v>
      </c>
      <c r="B176" s="84" t="s">
        <v>2420</v>
      </c>
      <c r="D176" s="89" t="s">
        <v>2755</v>
      </c>
      <c r="E176" s="11" t="s">
        <v>2291</v>
      </c>
      <c r="F176" s="11"/>
      <c r="G176" s="86">
        <v>43969.0</v>
      </c>
      <c r="I176" s="31"/>
      <c r="J176" s="31"/>
      <c r="K176" s="11" t="s">
        <v>2756</v>
      </c>
      <c r="L176" s="31"/>
      <c r="M176" s="31"/>
      <c r="N176" s="31"/>
      <c r="O176" s="31"/>
      <c r="P176" s="31"/>
      <c r="Q176" s="31"/>
      <c r="R176" s="31"/>
      <c r="S176" s="31"/>
      <c r="T176" s="31"/>
      <c r="U176" s="31"/>
      <c r="V176" s="31"/>
      <c r="W176" s="31"/>
      <c r="X176" s="31"/>
      <c r="Y176" s="31"/>
      <c r="Z176" s="31"/>
      <c r="AA176" s="31"/>
    </row>
    <row r="177" ht="15.75" customHeight="1">
      <c r="A177" s="11" t="s">
        <v>2757</v>
      </c>
      <c r="B177" s="84" t="s">
        <v>2420</v>
      </c>
      <c r="D177" s="89" t="s">
        <v>2758</v>
      </c>
      <c r="E177" s="11" t="s">
        <v>2291</v>
      </c>
      <c r="F177" s="11"/>
      <c r="G177" s="86">
        <v>43969.0</v>
      </c>
      <c r="I177" s="31"/>
      <c r="J177" s="31"/>
      <c r="K177" s="11" t="s">
        <v>172</v>
      </c>
      <c r="L177" s="31"/>
      <c r="M177" s="31"/>
      <c r="N177" s="31"/>
      <c r="O177" s="31"/>
      <c r="P177" s="31"/>
      <c r="Q177" s="31"/>
      <c r="R177" s="31"/>
      <c r="S177" s="31"/>
      <c r="T177" s="31"/>
      <c r="U177" s="31"/>
      <c r="V177" s="31"/>
      <c r="W177" s="31"/>
      <c r="X177" s="31"/>
      <c r="Y177" s="31"/>
      <c r="Z177" s="31"/>
      <c r="AA177" s="31"/>
      <c r="AB177" s="11" t="s">
        <v>172</v>
      </c>
    </row>
    <row r="178" ht="15.75" customHeight="1">
      <c r="B178" s="84"/>
      <c r="D178" s="94"/>
      <c r="E178" s="11"/>
      <c r="F178" s="11"/>
      <c r="I178" s="31"/>
      <c r="J178" s="31"/>
      <c r="L178" s="31"/>
      <c r="M178" s="31"/>
      <c r="N178" s="31"/>
      <c r="O178" s="31"/>
      <c r="P178" s="31"/>
      <c r="Q178" s="31"/>
      <c r="R178" s="31"/>
      <c r="S178" s="31"/>
      <c r="T178" s="31"/>
      <c r="U178" s="31"/>
      <c r="V178" s="31"/>
      <c r="W178" s="31"/>
      <c r="X178" s="31"/>
      <c r="Y178" s="31"/>
      <c r="Z178" s="31"/>
      <c r="AA178" s="31"/>
    </row>
    <row r="179" ht="15.75" customHeight="1">
      <c r="B179" s="84"/>
      <c r="D179" s="93"/>
      <c r="E179" s="11"/>
      <c r="F179" s="11"/>
      <c r="I179" s="31"/>
      <c r="J179" s="31"/>
      <c r="L179" s="31"/>
      <c r="M179" s="31"/>
      <c r="N179" s="31"/>
      <c r="O179" s="31"/>
      <c r="P179" s="31"/>
      <c r="Q179" s="31"/>
      <c r="R179" s="31"/>
      <c r="S179" s="31"/>
      <c r="T179" s="31"/>
      <c r="U179" s="31"/>
      <c r="V179" s="31"/>
      <c r="W179" s="31"/>
      <c r="X179" s="31"/>
      <c r="Y179" s="31"/>
      <c r="Z179" s="31"/>
      <c r="AA179" s="31"/>
    </row>
    <row r="180" ht="15.75" customHeight="1">
      <c r="B180" s="84"/>
      <c r="D180" s="93"/>
      <c r="E180" s="11"/>
      <c r="F180" s="11"/>
      <c r="I180" s="31"/>
      <c r="J180" s="31"/>
      <c r="L180" s="31"/>
      <c r="M180" s="31"/>
      <c r="N180" s="31"/>
      <c r="O180" s="31"/>
      <c r="P180" s="31"/>
      <c r="Q180" s="31"/>
      <c r="R180" s="31"/>
      <c r="S180" s="31"/>
      <c r="T180" s="31"/>
      <c r="U180" s="31"/>
      <c r="V180" s="31"/>
      <c r="W180" s="31"/>
      <c r="X180" s="31"/>
      <c r="Y180" s="31"/>
      <c r="Z180" s="31"/>
      <c r="AA180" s="31"/>
    </row>
    <row r="181" ht="15.75" customHeight="1">
      <c r="B181" s="84"/>
      <c r="D181" s="94"/>
      <c r="E181" s="11"/>
      <c r="F181" s="11"/>
      <c r="I181" s="31"/>
      <c r="J181" s="31"/>
      <c r="L181" s="31"/>
      <c r="M181" s="31"/>
      <c r="N181" s="31"/>
      <c r="O181" s="31"/>
      <c r="P181" s="31"/>
      <c r="Q181" s="31"/>
      <c r="R181" s="31"/>
      <c r="S181" s="31"/>
      <c r="T181" s="31"/>
      <c r="U181" s="31"/>
      <c r="V181" s="31"/>
      <c r="W181" s="31"/>
      <c r="X181" s="31"/>
      <c r="Y181" s="31"/>
      <c r="Z181" s="31"/>
      <c r="AA181" s="31"/>
    </row>
    <row r="182" ht="15.75" customHeight="1">
      <c r="B182" s="84"/>
      <c r="D182" s="94"/>
      <c r="E182" s="11"/>
      <c r="F182" s="11"/>
      <c r="I182" s="31"/>
      <c r="J182" s="31"/>
      <c r="L182" s="31"/>
      <c r="M182" s="31"/>
      <c r="N182" s="31"/>
      <c r="O182" s="31"/>
      <c r="P182" s="31"/>
      <c r="Q182" s="31"/>
      <c r="R182" s="31"/>
      <c r="S182" s="31"/>
      <c r="T182" s="31"/>
      <c r="U182" s="31"/>
      <c r="V182" s="31"/>
      <c r="W182" s="31"/>
      <c r="X182" s="31"/>
      <c r="Y182" s="31"/>
      <c r="Z182" s="31"/>
      <c r="AA182" s="31"/>
    </row>
    <row r="183" ht="15.75" customHeight="1">
      <c r="B183" s="84"/>
      <c r="D183" s="94"/>
      <c r="E183" s="11"/>
      <c r="F183" s="11"/>
      <c r="I183" s="31"/>
      <c r="J183" s="31"/>
      <c r="L183" s="31"/>
      <c r="M183" s="31"/>
      <c r="N183" s="31"/>
      <c r="O183" s="31"/>
      <c r="P183" s="31"/>
      <c r="Q183" s="31"/>
      <c r="R183" s="31"/>
      <c r="S183" s="31"/>
      <c r="T183" s="31"/>
      <c r="U183" s="31"/>
      <c r="V183" s="31"/>
      <c r="W183" s="31"/>
      <c r="X183" s="31"/>
      <c r="Y183" s="31"/>
      <c r="Z183" s="31"/>
      <c r="AA183" s="31"/>
    </row>
    <row r="184" ht="15.75" customHeight="1">
      <c r="B184" s="84"/>
      <c r="D184" s="94"/>
      <c r="E184" s="11"/>
      <c r="F184" s="11"/>
      <c r="I184" s="31"/>
      <c r="J184" s="31"/>
      <c r="L184" s="31"/>
      <c r="M184" s="31"/>
      <c r="N184" s="31"/>
      <c r="O184" s="31"/>
      <c r="P184" s="31"/>
      <c r="Q184" s="31"/>
      <c r="R184" s="31"/>
      <c r="S184" s="31"/>
      <c r="T184" s="31"/>
      <c r="U184" s="31"/>
      <c r="V184" s="31"/>
      <c r="W184" s="31"/>
      <c r="X184" s="31"/>
      <c r="Y184" s="31"/>
      <c r="Z184" s="31"/>
      <c r="AA184" s="31"/>
    </row>
    <row r="185" ht="15.75" customHeight="1">
      <c r="B185" s="84"/>
      <c r="D185" s="94"/>
      <c r="E185" s="11"/>
      <c r="F185" s="11"/>
      <c r="I185" s="31"/>
      <c r="J185" s="31"/>
      <c r="L185" s="31"/>
      <c r="M185" s="31"/>
      <c r="N185" s="31"/>
      <c r="O185" s="31"/>
      <c r="P185" s="31"/>
      <c r="Q185" s="31"/>
      <c r="R185" s="31"/>
      <c r="S185" s="31"/>
      <c r="T185" s="31"/>
      <c r="U185" s="31"/>
      <c r="V185" s="31"/>
      <c r="W185" s="31"/>
      <c r="X185" s="31"/>
      <c r="Y185" s="31"/>
      <c r="Z185" s="31"/>
      <c r="AA185" s="31"/>
    </row>
    <row r="186" ht="15.75" customHeight="1">
      <c r="B186" s="84"/>
      <c r="D186" s="94"/>
      <c r="E186" s="11"/>
      <c r="F186" s="11"/>
      <c r="I186" s="31"/>
      <c r="J186" s="31"/>
      <c r="L186" s="31"/>
      <c r="M186" s="31"/>
      <c r="N186" s="31"/>
      <c r="O186" s="31"/>
      <c r="P186" s="31"/>
      <c r="Q186" s="31"/>
      <c r="R186" s="31"/>
      <c r="S186" s="31"/>
      <c r="T186" s="31"/>
      <c r="U186" s="31"/>
      <c r="V186" s="31"/>
      <c r="W186" s="31"/>
      <c r="X186" s="31"/>
      <c r="Y186" s="31"/>
      <c r="Z186" s="31"/>
      <c r="AA186" s="31"/>
    </row>
    <row r="187" ht="15.75" customHeight="1">
      <c r="B187" s="84"/>
      <c r="D187" s="94"/>
      <c r="E187" s="11"/>
      <c r="F187" s="11"/>
      <c r="I187" s="31"/>
      <c r="J187" s="31"/>
      <c r="L187" s="31"/>
      <c r="M187" s="31"/>
      <c r="N187" s="31"/>
      <c r="O187" s="31"/>
      <c r="P187" s="31"/>
      <c r="Q187" s="31"/>
      <c r="R187" s="31"/>
      <c r="S187" s="31"/>
      <c r="T187" s="31"/>
      <c r="U187" s="31"/>
      <c r="V187" s="31"/>
      <c r="W187" s="31"/>
      <c r="X187" s="31"/>
      <c r="Y187" s="31"/>
      <c r="Z187" s="31"/>
      <c r="AA187" s="31"/>
    </row>
    <row r="188" ht="15.75" customHeight="1">
      <c r="B188" s="84"/>
      <c r="D188" s="94"/>
      <c r="E188" s="11"/>
      <c r="F188" s="11"/>
      <c r="I188" s="31"/>
      <c r="J188" s="31"/>
      <c r="L188" s="31"/>
      <c r="M188" s="31"/>
      <c r="N188" s="31"/>
      <c r="O188" s="31"/>
      <c r="P188" s="31"/>
      <c r="Q188" s="31"/>
      <c r="R188" s="31"/>
      <c r="S188" s="31"/>
      <c r="T188" s="31"/>
      <c r="U188" s="31"/>
      <c r="V188" s="31"/>
      <c r="W188" s="31"/>
      <c r="X188" s="31"/>
      <c r="Y188" s="31"/>
      <c r="Z188" s="31"/>
      <c r="AA188" s="31"/>
    </row>
    <row r="189" ht="15.75" customHeight="1">
      <c r="B189" s="84"/>
      <c r="D189" s="94"/>
      <c r="E189" s="11"/>
      <c r="F189" s="11"/>
      <c r="I189" s="31"/>
      <c r="J189" s="31"/>
      <c r="L189" s="31"/>
      <c r="M189" s="31"/>
      <c r="N189" s="31"/>
      <c r="O189" s="31"/>
      <c r="P189" s="31"/>
      <c r="Q189" s="31"/>
      <c r="R189" s="31"/>
      <c r="S189" s="31"/>
      <c r="T189" s="31"/>
      <c r="U189" s="31"/>
      <c r="V189" s="31"/>
      <c r="W189" s="31"/>
      <c r="X189" s="31"/>
      <c r="Y189" s="31"/>
      <c r="Z189" s="31"/>
      <c r="AA189" s="31"/>
    </row>
    <row r="190" ht="15.75" customHeight="1">
      <c r="B190" s="84"/>
      <c r="D190" s="94"/>
      <c r="E190" s="11"/>
      <c r="F190" s="11"/>
      <c r="I190" s="31"/>
      <c r="J190" s="31"/>
      <c r="L190" s="31"/>
      <c r="M190" s="31"/>
      <c r="N190" s="31"/>
      <c r="O190" s="31"/>
      <c r="P190" s="31"/>
      <c r="Q190" s="31"/>
      <c r="R190" s="31"/>
      <c r="S190" s="31"/>
      <c r="T190" s="31"/>
      <c r="U190" s="31"/>
      <c r="V190" s="31"/>
      <c r="W190" s="31"/>
      <c r="X190" s="31"/>
      <c r="Y190" s="31"/>
      <c r="Z190" s="31"/>
      <c r="AA190" s="31"/>
    </row>
    <row r="191" ht="15.75" customHeight="1">
      <c r="B191" s="84"/>
      <c r="D191" s="94"/>
      <c r="E191" s="11"/>
      <c r="F191" s="11"/>
      <c r="I191" s="31"/>
      <c r="J191" s="31"/>
      <c r="L191" s="31"/>
      <c r="M191" s="31"/>
      <c r="N191" s="31"/>
      <c r="O191" s="31"/>
      <c r="P191" s="31"/>
      <c r="Q191" s="31"/>
      <c r="R191" s="31"/>
      <c r="S191" s="31"/>
      <c r="T191" s="31"/>
      <c r="U191" s="31"/>
      <c r="V191" s="31"/>
      <c r="W191" s="31"/>
      <c r="X191" s="31"/>
      <c r="Y191" s="31"/>
      <c r="Z191" s="31"/>
      <c r="AA191" s="31"/>
    </row>
    <row r="192" ht="15.75" customHeight="1">
      <c r="B192" s="84"/>
      <c r="D192" s="94"/>
      <c r="E192" s="11"/>
      <c r="F192" s="11"/>
      <c r="I192" s="31"/>
      <c r="J192" s="31"/>
      <c r="L192" s="31"/>
      <c r="M192" s="31"/>
      <c r="N192" s="31"/>
      <c r="O192" s="31"/>
      <c r="P192" s="31"/>
      <c r="Q192" s="31"/>
      <c r="R192" s="31"/>
      <c r="S192" s="31"/>
      <c r="T192" s="31"/>
      <c r="U192" s="31"/>
      <c r="V192" s="31"/>
      <c r="W192" s="31"/>
      <c r="X192" s="31"/>
      <c r="Y192" s="31"/>
      <c r="Z192" s="31"/>
      <c r="AA192" s="31"/>
    </row>
    <row r="193" ht="15.75" customHeight="1">
      <c r="B193" s="84"/>
      <c r="D193" s="94"/>
      <c r="E193" s="11"/>
      <c r="F193" s="11"/>
      <c r="I193" s="31"/>
      <c r="J193" s="31"/>
      <c r="L193" s="31"/>
      <c r="M193" s="31"/>
      <c r="N193" s="31"/>
      <c r="O193" s="31"/>
      <c r="P193" s="31"/>
      <c r="Q193" s="31"/>
      <c r="R193" s="31"/>
      <c r="S193" s="31"/>
      <c r="T193" s="31"/>
      <c r="U193" s="31"/>
      <c r="V193" s="31"/>
      <c r="W193" s="31"/>
      <c r="X193" s="31"/>
      <c r="Y193" s="31"/>
      <c r="Z193" s="31"/>
      <c r="AA193" s="31"/>
    </row>
    <row r="194" ht="15.75" customHeight="1">
      <c r="B194" s="84"/>
      <c r="D194" s="94"/>
      <c r="E194" s="11"/>
      <c r="F194" s="11"/>
      <c r="I194" s="31"/>
      <c r="J194" s="31"/>
      <c r="L194" s="31"/>
      <c r="M194" s="31"/>
      <c r="N194" s="31"/>
      <c r="O194" s="31"/>
      <c r="P194" s="31"/>
      <c r="Q194" s="31"/>
      <c r="R194" s="31"/>
      <c r="S194" s="31"/>
      <c r="T194" s="31"/>
      <c r="U194" s="31"/>
      <c r="V194" s="31"/>
      <c r="W194" s="31"/>
      <c r="X194" s="31"/>
      <c r="Y194" s="31"/>
      <c r="Z194" s="31"/>
      <c r="AA194" s="31"/>
    </row>
    <row r="195" ht="15.75" customHeight="1">
      <c r="B195" s="84"/>
      <c r="D195" s="94"/>
      <c r="E195" s="11"/>
      <c r="F195" s="11"/>
      <c r="I195" s="31"/>
      <c r="J195" s="31"/>
      <c r="L195" s="31"/>
      <c r="M195" s="31"/>
      <c r="N195" s="31"/>
      <c r="O195" s="31"/>
      <c r="P195" s="31"/>
      <c r="Q195" s="31"/>
      <c r="R195" s="31"/>
      <c r="S195" s="31"/>
      <c r="T195" s="31"/>
      <c r="U195" s="31"/>
      <c r="V195" s="31"/>
      <c r="W195" s="31"/>
      <c r="X195" s="31"/>
      <c r="Y195" s="31"/>
      <c r="Z195" s="31"/>
      <c r="AA195" s="31"/>
    </row>
    <row r="196" ht="15.75" customHeight="1">
      <c r="B196" s="84"/>
      <c r="D196" s="94"/>
      <c r="E196" s="11"/>
      <c r="F196" s="11"/>
      <c r="I196" s="31"/>
      <c r="J196" s="31"/>
      <c r="L196" s="31"/>
      <c r="M196" s="31"/>
      <c r="N196" s="31"/>
      <c r="O196" s="31"/>
      <c r="P196" s="31"/>
      <c r="Q196" s="31"/>
      <c r="R196" s="31"/>
      <c r="S196" s="31"/>
      <c r="T196" s="31"/>
      <c r="U196" s="31"/>
      <c r="V196" s="31"/>
      <c r="W196" s="31"/>
      <c r="X196" s="31"/>
      <c r="Y196" s="31"/>
      <c r="Z196" s="31"/>
      <c r="AA196" s="31"/>
    </row>
    <row r="197" ht="15.75" customHeight="1">
      <c r="B197" s="84"/>
      <c r="D197" s="94"/>
      <c r="E197" s="11"/>
      <c r="F197" s="11"/>
      <c r="I197" s="31"/>
      <c r="J197" s="31"/>
      <c r="L197" s="31"/>
      <c r="M197" s="31"/>
      <c r="N197" s="31"/>
      <c r="O197" s="31"/>
      <c r="P197" s="31"/>
      <c r="Q197" s="31"/>
      <c r="R197" s="31"/>
      <c r="S197" s="31"/>
      <c r="T197" s="31"/>
      <c r="U197" s="31"/>
      <c r="V197" s="31"/>
      <c r="W197" s="31"/>
      <c r="X197" s="31"/>
      <c r="Y197" s="31"/>
      <c r="Z197" s="31"/>
      <c r="AA197" s="31"/>
    </row>
    <row r="198" ht="15.75" customHeight="1">
      <c r="B198" s="84"/>
      <c r="D198" s="94"/>
      <c r="E198" s="11"/>
      <c r="F198" s="11"/>
      <c r="I198" s="31"/>
      <c r="J198" s="31"/>
      <c r="L198" s="31"/>
      <c r="M198" s="31"/>
      <c r="N198" s="31"/>
      <c r="O198" s="31"/>
      <c r="P198" s="31"/>
      <c r="Q198" s="31"/>
      <c r="R198" s="31"/>
      <c r="S198" s="31"/>
      <c r="T198" s="31"/>
      <c r="U198" s="31"/>
      <c r="V198" s="31"/>
      <c r="W198" s="31"/>
      <c r="X198" s="31"/>
      <c r="Y198" s="31"/>
      <c r="Z198" s="31"/>
      <c r="AA198" s="31"/>
    </row>
    <row r="199" ht="15.75" customHeight="1">
      <c r="B199" s="84"/>
      <c r="D199" s="94"/>
      <c r="E199" s="11"/>
      <c r="F199" s="11"/>
      <c r="I199" s="31"/>
      <c r="J199" s="31"/>
      <c r="L199" s="31"/>
      <c r="M199" s="31"/>
      <c r="N199" s="31"/>
      <c r="O199" s="31"/>
      <c r="P199" s="31"/>
      <c r="Q199" s="31"/>
      <c r="R199" s="31"/>
      <c r="S199" s="31"/>
      <c r="T199" s="31"/>
      <c r="U199" s="31"/>
      <c r="V199" s="31"/>
      <c r="W199" s="31"/>
      <c r="X199" s="31"/>
      <c r="Y199" s="31"/>
      <c r="Z199" s="31"/>
      <c r="AA199" s="31"/>
    </row>
    <row r="200" ht="15.75" customHeight="1">
      <c r="B200" s="84"/>
      <c r="D200" s="94"/>
      <c r="E200" s="11"/>
      <c r="F200" s="11"/>
      <c r="I200" s="31"/>
      <c r="J200" s="31"/>
      <c r="L200" s="31"/>
      <c r="M200" s="31"/>
      <c r="N200" s="31"/>
      <c r="O200" s="31"/>
      <c r="P200" s="31"/>
      <c r="Q200" s="31"/>
      <c r="R200" s="31"/>
      <c r="S200" s="31"/>
      <c r="T200" s="31"/>
      <c r="U200" s="31"/>
      <c r="V200" s="31"/>
      <c r="W200" s="31"/>
      <c r="X200" s="31"/>
      <c r="Y200" s="31"/>
      <c r="Z200" s="31"/>
      <c r="AA200" s="31"/>
    </row>
    <row r="201" ht="15.75" customHeight="1">
      <c r="B201" s="84"/>
      <c r="D201" s="94"/>
      <c r="E201" s="11"/>
      <c r="F201" s="11"/>
      <c r="I201" s="31"/>
      <c r="J201" s="31"/>
      <c r="L201" s="31"/>
      <c r="M201" s="31"/>
      <c r="N201" s="31"/>
      <c r="O201" s="31"/>
      <c r="P201" s="31"/>
      <c r="Q201" s="31"/>
      <c r="R201" s="31"/>
      <c r="S201" s="31"/>
      <c r="T201" s="31"/>
      <c r="U201" s="31"/>
      <c r="V201" s="31"/>
      <c r="W201" s="31"/>
      <c r="X201" s="31"/>
      <c r="Y201" s="31"/>
      <c r="Z201" s="31"/>
      <c r="AA201" s="31"/>
    </row>
    <row r="202" ht="15.75" customHeight="1">
      <c r="B202" s="84"/>
      <c r="D202" s="94"/>
      <c r="E202" s="11"/>
      <c r="F202" s="11"/>
      <c r="I202" s="31"/>
      <c r="J202" s="31"/>
      <c r="L202" s="31"/>
      <c r="M202" s="31"/>
      <c r="N202" s="31"/>
      <c r="O202" s="31"/>
      <c r="P202" s="31"/>
      <c r="Q202" s="31"/>
      <c r="R202" s="31"/>
      <c r="S202" s="31"/>
      <c r="T202" s="31"/>
      <c r="U202" s="31"/>
      <c r="V202" s="31"/>
      <c r="W202" s="31"/>
      <c r="X202" s="31"/>
      <c r="Y202" s="31"/>
      <c r="Z202" s="31"/>
      <c r="AA202" s="31"/>
    </row>
    <row r="203" ht="15.75" customHeight="1">
      <c r="B203" s="84"/>
      <c r="D203" s="94"/>
      <c r="E203" s="11"/>
      <c r="F203" s="11"/>
      <c r="I203" s="31"/>
      <c r="J203" s="31"/>
      <c r="L203" s="31"/>
      <c r="M203" s="31"/>
      <c r="N203" s="31"/>
      <c r="O203" s="31"/>
      <c r="P203" s="31"/>
      <c r="Q203" s="31"/>
      <c r="R203" s="31"/>
      <c r="S203" s="31"/>
      <c r="T203" s="31"/>
      <c r="U203" s="31"/>
      <c r="V203" s="31"/>
      <c r="W203" s="31"/>
      <c r="X203" s="31"/>
      <c r="Y203" s="31"/>
      <c r="Z203" s="31"/>
      <c r="AA203" s="31"/>
    </row>
    <row r="204" ht="15.75" customHeight="1">
      <c r="B204" s="84"/>
      <c r="D204" s="94"/>
      <c r="E204" s="11"/>
      <c r="F204" s="11"/>
      <c r="I204" s="31"/>
      <c r="J204" s="31"/>
      <c r="L204" s="31"/>
      <c r="M204" s="31"/>
      <c r="N204" s="31"/>
      <c r="O204" s="31"/>
      <c r="P204" s="31"/>
      <c r="Q204" s="31"/>
      <c r="R204" s="31"/>
      <c r="S204" s="31"/>
      <c r="T204" s="31"/>
      <c r="U204" s="31"/>
      <c r="V204" s="31"/>
      <c r="W204" s="31"/>
      <c r="X204" s="31"/>
      <c r="Y204" s="31"/>
      <c r="Z204" s="31"/>
      <c r="AA204" s="31"/>
    </row>
    <row r="205" ht="15.75" customHeight="1">
      <c r="B205" s="84"/>
      <c r="D205" s="94"/>
      <c r="E205" s="11"/>
      <c r="F205" s="11"/>
      <c r="I205" s="31"/>
      <c r="J205" s="31"/>
      <c r="L205" s="31"/>
      <c r="M205" s="31"/>
      <c r="N205" s="31"/>
      <c r="O205" s="31"/>
      <c r="P205" s="31"/>
      <c r="Q205" s="31"/>
      <c r="R205" s="31"/>
      <c r="S205" s="31"/>
      <c r="T205" s="31"/>
      <c r="U205" s="31"/>
      <c r="V205" s="31"/>
      <c r="W205" s="31"/>
      <c r="X205" s="31"/>
      <c r="Y205" s="31"/>
      <c r="Z205" s="31"/>
      <c r="AA205" s="31"/>
    </row>
    <row r="206" ht="15.75" customHeight="1">
      <c r="B206" s="84"/>
      <c r="D206" s="94"/>
      <c r="E206" s="11"/>
      <c r="F206" s="11"/>
      <c r="I206" s="31"/>
      <c r="J206" s="31"/>
      <c r="L206" s="31"/>
      <c r="M206" s="31"/>
      <c r="N206" s="31"/>
      <c r="O206" s="31"/>
      <c r="P206" s="31"/>
      <c r="Q206" s="31"/>
      <c r="R206" s="31"/>
      <c r="S206" s="31"/>
      <c r="T206" s="31"/>
      <c r="U206" s="31"/>
      <c r="V206" s="31"/>
      <c r="W206" s="31"/>
      <c r="X206" s="31"/>
      <c r="Y206" s="31"/>
      <c r="Z206" s="31"/>
      <c r="AA206" s="31"/>
    </row>
    <row r="207" ht="15.75" customHeight="1">
      <c r="B207" s="84"/>
      <c r="D207" s="94"/>
      <c r="E207" s="11"/>
      <c r="F207" s="11"/>
      <c r="I207" s="31"/>
      <c r="J207" s="31"/>
      <c r="L207" s="31"/>
      <c r="M207" s="31"/>
      <c r="N207" s="31"/>
      <c r="O207" s="31"/>
      <c r="P207" s="31"/>
      <c r="Q207" s="31"/>
      <c r="R207" s="31"/>
      <c r="S207" s="31"/>
      <c r="T207" s="31"/>
      <c r="U207" s="31"/>
      <c r="V207" s="31"/>
      <c r="W207" s="31"/>
      <c r="X207" s="31"/>
      <c r="Y207" s="31"/>
      <c r="Z207" s="31"/>
      <c r="AA207" s="31"/>
    </row>
    <row r="208" ht="15.75" customHeight="1">
      <c r="B208" s="84"/>
      <c r="D208" s="94"/>
      <c r="E208" s="11"/>
      <c r="F208" s="11"/>
      <c r="I208" s="31"/>
      <c r="J208" s="31"/>
      <c r="L208" s="31"/>
      <c r="M208" s="31"/>
      <c r="N208" s="31"/>
      <c r="O208" s="31"/>
      <c r="P208" s="31"/>
      <c r="Q208" s="31"/>
      <c r="R208" s="31"/>
      <c r="S208" s="31"/>
      <c r="T208" s="31"/>
      <c r="U208" s="31"/>
      <c r="V208" s="31"/>
      <c r="W208" s="31"/>
      <c r="X208" s="31"/>
      <c r="Y208" s="31"/>
      <c r="Z208" s="31"/>
      <c r="AA208" s="31"/>
    </row>
    <row r="209" ht="15.75" customHeight="1">
      <c r="B209" s="84"/>
      <c r="D209" s="94"/>
      <c r="E209" s="11"/>
      <c r="F209" s="11"/>
      <c r="I209" s="31"/>
      <c r="J209" s="31"/>
      <c r="L209" s="31"/>
      <c r="M209" s="31"/>
      <c r="N209" s="31"/>
      <c r="O209" s="31"/>
      <c r="P209" s="31"/>
      <c r="Q209" s="31"/>
      <c r="R209" s="31"/>
      <c r="S209" s="31"/>
      <c r="T209" s="31"/>
      <c r="U209" s="31"/>
      <c r="V209" s="31"/>
      <c r="W209" s="31"/>
      <c r="X209" s="31"/>
      <c r="Y209" s="31"/>
      <c r="Z209" s="31"/>
      <c r="AA209" s="31"/>
    </row>
    <row r="210" ht="15.75" customHeight="1">
      <c r="B210" s="84"/>
      <c r="D210" s="94"/>
      <c r="E210" s="11"/>
      <c r="F210" s="11"/>
      <c r="I210" s="31"/>
      <c r="J210" s="31"/>
      <c r="L210" s="31"/>
      <c r="M210" s="31"/>
      <c r="N210" s="31"/>
      <c r="O210" s="31"/>
      <c r="P210" s="31"/>
      <c r="Q210" s="31"/>
      <c r="R210" s="31"/>
      <c r="S210" s="31"/>
      <c r="T210" s="31"/>
      <c r="U210" s="31"/>
      <c r="V210" s="31"/>
      <c r="W210" s="31"/>
      <c r="X210" s="31"/>
      <c r="Y210" s="31"/>
      <c r="Z210" s="31"/>
      <c r="AA210" s="31"/>
    </row>
    <row r="211" ht="15.75" customHeight="1">
      <c r="B211" s="84"/>
      <c r="D211" s="94"/>
      <c r="E211" s="11"/>
      <c r="F211" s="11"/>
      <c r="I211" s="31"/>
      <c r="J211" s="31"/>
      <c r="L211" s="31"/>
      <c r="M211" s="31"/>
      <c r="N211" s="31"/>
      <c r="O211" s="31"/>
      <c r="P211" s="31"/>
      <c r="Q211" s="31"/>
      <c r="R211" s="31"/>
      <c r="S211" s="31"/>
      <c r="T211" s="31"/>
      <c r="U211" s="31"/>
      <c r="V211" s="31"/>
      <c r="W211" s="31"/>
      <c r="X211" s="31"/>
      <c r="Y211" s="31"/>
      <c r="Z211" s="31"/>
      <c r="AA211" s="31"/>
    </row>
    <row r="212" ht="15.75" customHeight="1">
      <c r="B212" s="84"/>
      <c r="D212" s="94"/>
      <c r="E212" s="11"/>
      <c r="F212" s="11"/>
      <c r="I212" s="31"/>
      <c r="J212" s="31"/>
      <c r="L212" s="31"/>
      <c r="M212" s="31"/>
      <c r="N212" s="31"/>
      <c r="O212" s="31"/>
      <c r="P212" s="31"/>
      <c r="Q212" s="31"/>
      <c r="R212" s="31"/>
      <c r="S212" s="31"/>
      <c r="T212" s="31"/>
      <c r="U212" s="31"/>
      <c r="V212" s="31"/>
      <c r="W212" s="31"/>
      <c r="X212" s="31"/>
      <c r="Y212" s="31"/>
      <c r="Z212" s="31"/>
      <c r="AA212" s="31"/>
    </row>
    <row r="213" ht="15.75" customHeight="1">
      <c r="B213" s="84"/>
      <c r="D213" s="94"/>
      <c r="E213" s="11"/>
      <c r="F213" s="11"/>
      <c r="I213" s="31"/>
      <c r="J213" s="31"/>
      <c r="L213" s="31"/>
      <c r="M213" s="31"/>
      <c r="N213" s="31"/>
      <c r="O213" s="31"/>
      <c r="P213" s="31"/>
      <c r="Q213" s="31"/>
      <c r="R213" s="31"/>
      <c r="S213" s="31"/>
      <c r="T213" s="31"/>
      <c r="U213" s="31"/>
      <c r="V213" s="31"/>
      <c r="W213" s="31"/>
      <c r="X213" s="31"/>
      <c r="Y213" s="31"/>
      <c r="Z213" s="31"/>
      <c r="AA213" s="31"/>
    </row>
    <row r="214" ht="15.75" customHeight="1">
      <c r="B214" s="84"/>
      <c r="D214" s="94"/>
      <c r="E214" s="11"/>
      <c r="F214" s="11"/>
      <c r="I214" s="31"/>
      <c r="J214" s="31"/>
      <c r="L214" s="31"/>
      <c r="M214" s="31"/>
      <c r="N214" s="31"/>
      <c r="O214" s="31"/>
      <c r="P214" s="31"/>
      <c r="Q214" s="31"/>
      <c r="R214" s="31"/>
      <c r="S214" s="31"/>
      <c r="T214" s="31"/>
      <c r="U214" s="31"/>
      <c r="V214" s="31"/>
      <c r="W214" s="31"/>
      <c r="X214" s="31"/>
      <c r="Y214" s="31"/>
      <c r="Z214" s="31"/>
      <c r="AA214" s="31"/>
    </row>
    <row r="215" ht="15.75" customHeight="1">
      <c r="B215" s="84"/>
      <c r="D215" s="94"/>
      <c r="E215" s="11"/>
      <c r="F215" s="11"/>
      <c r="I215" s="31"/>
      <c r="J215" s="31"/>
      <c r="L215" s="31"/>
      <c r="M215" s="31"/>
      <c r="N215" s="31"/>
      <c r="O215" s="31"/>
      <c r="P215" s="31"/>
      <c r="Q215" s="31"/>
      <c r="R215" s="31"/>
      <c r="S215" s="31"/>
      <c r="T215" s="31"/>
      <c r="U215" s="31"/>
      <c r="V215" s="31"/>
      <c r="W215" s="31"/>
      <c r="X215" s="31"/>
      <c r="Y215" s="31"/>
      <c r="Z215" s="31"/>
      <c r="AA215" s="31"/>
    </row>
    <row r="216" ht="15.75" customHeight="1">
      <c r="B216" s="84"/>
      <c r="D216" s="94"/>
      <c r="E216" s="11"/>
      <c r="F216" s="11"/>
      <c r="I216" s="31"/>
      <c r="J216" s="31"/>
      <c r="L216" s="31"/>
      <c r="M216" s="31"/>
      <c r="N216" s="31"/>
      <c r="O216" s="31"/>
      <c r="P216" s="31"/>
      <c r="Q216" s="31"/>
      <c r="R216" s="31"/>
      <c r="S216" s="31"/>
      <c r="T216" s="31"/>
      <c r="U216" s="31"/>
      <c r="V216" s="31"/>
      <c r="W216" s="31"/>
      <c r="X216" s="31"/>
      <c r="Y216" s="31"/>
      <c r="Z216" s="31"/>
      <c r="AA216" s="31"/>
    </row>
    <row r="217" ht="15.75" customHeight="1">
      <c r="B217" s="84"/>
      <c r="D217" s="94"/>
      <c r="E217" s="11"/>
      <c r="F217" s="11"/>
      <c r="I217" s="31"/>
      <c r="J217" s="31"/>
      <c r="L217" s="31"/>
      <c r="M217" s="31"/>
      <c r="N217" s="31"/>
      <c r="O217" s="31"/>
      <c r="P217" s="31"/>
      <c r="Q217" s="31"/>
      <c r="R217" s="31"/>
      <c r="S217" s="31"/>
      <c r="T217" s="31"/>
      <c r="U217" s="31"/>
      <c r="V217" s="31"/>
      <c r="W217" s="31"/>
      <c r="X217" s="31"/>
      <c r="Y217" s="31"/>
      <c r="Z217" s="31"/>
      <c r="AA217" s="31"/>
    </row>
    <row r="218" ht="15.75" customHeight="1">
      <c r="B218" s="84"/>
      <c r="D218" s="94"/>
      <c r="E218" s="11"/>
      <c r="F218" s="11"/>
      <c r="I218" s="31"/>
      <c r="J218" s="31"/>
      <c r="L218" s="31"/>
      <c r="M218" s="31"/>
      <c r="N218" s="31"/>
      <c r="O218" s="31"/>
      <c r="P218" s="31"/>
      <c r="Q218" s="31"/>
      <c r="R218" s="31"/>
      <c r="S218" s="31"/>
      <c r="T218" s="31"/>
      <c r="U218" s="31"/>
      <c r="V218" s="31"/>
      <c r="W218" s="31"/>
      <c r="X218" s="31"/>
      <c r="Y218" s="31"/>
      <c r="Z218" s="31"/>
      <c r="AA218" s="31"/>
    </row>
    <row r="219" ht="15.75" customHeight="1">
      <c r="B219" s="84"/>
      <c r="D219" s="94"/>
      <c r="E219" s="11"/>
      <c r="F219" s="11"/>
      <c r="I219" s="31"/>
      <c r="J219" s="31"/>
      <c r="L219" s="31"/>
      <c r="M219" s="31"/>
      <c r="N219" s="31"/>
      <c r="O219" s="31"/>
      <c r="P219" s="31"/>
      <c r="Q219" s="31"/>
      <c r="R219" s="31"/>
      <c r="S219" s="31"/>
      <c r="T219" s="31"/>
      <c r="U219" s="31"/>
      <c r="V219" s="31"/>
      <c r="W219" s="31"/>
      <c r="X219" s="31"/>
      <c r="Y219" s="31"/>
      <c r="Z219" s="31"/>
      <c r="AA219" s="31"/>
    </row>
    <row r="220" ht="15.75" customHeight="1">
      <c r="B220" s="84"/>
      <c r="D220" s="94"/>
      <c r="E220" s="11"/>
      <c r="F220" s="11"/>
      <c r="I220" s="31"/>
      <c r="J220" s="31"/>
      <c r="L220" s="31"/>
      <c r="M220" s="31"/>
      <c r="N220" s="31"/>
      <c r="O220" s="31"/>
      <c r="P220" s="31"/>
      <c r="Q220" s="31"/>
      <c r="R220" s="31"/>
      <c r="S220" s="31"/>
      <c r="T220" s="31"/>
      <c r="U220" s="31"/>
      <c r="V220" s="31"/>
      <c r="W220" s="31"/>
      <c r="X220" s="31"/>
      <c r="Y220" s="31"/>
      <c r="Z220" s="31"/>
      <c r="AA220" s="31"/>
    </row>
    <row r="221" ht="15.75" customHeight="1">
      <c r="B221" s="84"/>
      <c r="D221" s="94"/>
      <c r="E221" s="11"/>
      <c r="F221" s="11"/>
      <c r="I221" s="31"/>
      <c r="J221" s="31"/>
      <c r="L221" s="31"/>
      <c r="M221" s="31"/>
      <c r="N221" s="31"/>
      <c r="O221" s="31"/>
      <c r="P221" s="31"/>
      <c r="Q221" s="31"/>
      <c r="R221" s="31"/>
      <c r="S221" s="31"/>
      <c r="T221" s="31"/>
      <c r="U221" s="31"/>
      <c r="V221" s="31"/>
      <c r="W221" s="31"/>
      <c r="X221" s="31"/>
      <c r="Y221" s="31"/>
      <c r="Z221" s="31"/>
      <c r="AA221" s="31"/>
    </row>
    <row r="222" ht="15.75" customHeight="1">
      <c r="B222" s="84"/>
      <c r="D222" s="94"/>
      <c r="E222" s="11"/>
      <c r="F222" s="11"/>
      <c r="I222" s="31"/>
      <c r="J222" s="31"/>
      <c r="L222" s="31"/>
      <c r="M222" s="31"/>
      <c r="N222" s="31"/>
      <c r="O222" s="31"/>
      <c r="P222" s="31"/>
      <c r="Q222" s="31"/>
      <c r="R222" s="31"/>
      <c r="S222" s="31"/>
      <c r="T222" s="31"/>
      <c r="U222" s="31"/>
      <c r="V222" s="31"/>
      <c r="W222" s="31"/>
      <c r="X222" s="31"/>
      <c r="Y222" s="31"/>
      <c r="Z222" s="31"/>
      <c r="AA222" s="31"/>
    </row>
    <row r="223" ht="15.75" customHeight="1">
      <c r="B223" s="84"/>
      <c r="D223" s="94"/>
      <c r="E223" s="11"/>
      <c r="F223" s="11"/>
      <c r="I223" s="31"/>
      <c r="J223" s="31"/>
      <c r="L223" s="31"/>
      <c r="M223" s="31"/>
      <c r="N223" s="31"/>
      <c r="O223" s="31"/>
      <c r="P223" s="31"/>
      <c r="Q223" s="31"/>
      <c r="R223" s="31"/>
      <c r="S223" s="31"/>
      <c r="T223" s="31"/>
      <c r="U223" s="31"/>
      <c r="V223" s="31"/>
      <c r="W223" s="31"/>
      <c r="X223" s="31"/>
      <c r="Y223" s="31"/>
      <c r="Z223" s="31"/>
      <c r="AA223" s="31"/>
    </row>
    <row r="224" ht="15.75" customHeight="1">
      <c r="B224" s="84"/>
      <c r="D224" s="94"/>
      <c r="E224" s="11"/>
      <c r="F224" s="11"/>
      <c r="I224" s="31"/>
      <c r="J224" s="31"/>
      <c r="L224" s="31"/>
      <c r="M224" s="31"/>
      <c r="N224" s="31"/>
      <c r="O224" s="31"/>
      <c r="P224" s="31"/>
      <c r="Q224" s="31"/>
      <c r="R224" s="31"/>
      <c r="S224" s="31"/>
      <c r="T224" s="31"/>
      <c r="U224" s="31"/>
      <c r="V224" s="31"/>
      <c r="W224" s="31"/>
      <c r="X224" s="31"/>
      <c r="Y224" s="31"/>
      <c r="Z224" s="31"/>
      <c r="AA224" s="31"/>
    </row>
    <row r="225" ht="15.75" customHeight="1">
      <c r="B225" s="84"/>
      <c r="D225" s="94"/>
      <c r="E225" s="11"/>
      <c r="F225" s="11"/>
      <c r="I225" s="31"/>
      <c r="J225" s="31"/>
      <c r="L225" s="31"/>
      <c r="M225" s="31"/>
      <c r="N225" s="31"/>
      <c r="O225" s="31"/>
      <c r="P225" s="31"/>
      <c r="Q225" s="31"/>
      <c r="R225" s="31"/>
      <c r="S225" s="31"/>
      <c r="T225" s="31"/>
      <c r="U225" s="31"/>
      <c r="V225" s="31"/>
      <c r="W225" s="31"/>
      <c r="X225" s="31"/>
      <c r="Y225" s="31"/>
      <c r="Z225" s="31"/>
      <c r="AA225" s="31"/>
    </row>
    <row r="226" ht="15.75" customHeight="1">
      <c r="B226" s="84"/>
      <c r="D226" s="94"/>
      <c r="E226" s="11"/>
      <c r="F226" s="11"/>
      <c r="I226" s="31"/>
      <c r="J226" s="31"/>
      <c r="L226" s="31"/>
      <c r="M226" s="31"/>
      <c r="N226" s="31"/>
      <c r="O226" s="31"/>
      <c r="P226" s="31"/>
      <c r="Q226" s="31"/>
      <c r="R226" s="31"/>
      <c r="S226" s="31"/>
      <c r="T226" s="31"/>
      <c r="U226" s="31"/>
      <c r="V226" s="31"/>
      <c r="W226" s="31"/>
      <c r="X226" s="31"/>
      <c r="Y226" s="31"/>
      <c r="Z226" s="31"/>
      <c r="AA226" s="31"/>
    </row>
    <row r="227" ht="15.75" customHeight="1">
      <c r="B227" s="84"/>
      <c r="D227" s="94"/>
      <c r="E227" s="11"/>
      <c r="F227" s="11"/>
      <c r="I227" s="31"/>
      <c r="J227" s="31"/>
      <c r="L227" s="31"/>
      <c r="M227" s="31"/>
      <c r="N227" s="31"/>
      <c r="O227" s="31"/>
      <c r="P227" s="31"/>
      <c r="Q227" s="31"/>
      <c r="R227" s="31"/>
      <c r="S227" s="31"/>
      <c r="T227" s="31"/>
      <c r="U227" s="31"/>
      <c r="V227" s="31"/>
      <c r="W227" s="31"/>
      <c r="X227" s="31"/>
      <c r="Y227" s="31"/>
      <c r="Z227" s="31"/>
      <c r="AA227" s="31"/>
    </row>
    <row r="228" ht="15.75" customHeight="1">
      <c r="B228" s="84"/>
      <c r="D228" s="94"/>
      <c r="E228" s="11"/>
      <c r="F228" s="11"/>
      <c r="I228" s="31"/>
      <c r="J228" s="31"/>
      <c r="L228" s="31"/>
      <c r="M228" s="31"/>
      <c r="N228" s="31"/>
      <c r="O228" s="31"/>
      <c r="P228" s="31"/>
      <c r="Q228" s="31"/>
      <c r="R228" s="31"/>
      <c r="S228" s="31"/>
      <c r="T228" s="31"/>
      <c r="U228" s="31"/>
      <c r="V228" s="31"/>
      <c r="W228" s="31"/>
      <c r="X228" s="31"/>
      <c r="Y228" s="31"/>
      <c r="Z228" s="31"/>
      <c r="AA228" s="31"/>
    </row>
    <row r="229" ht="15.75" customHeight="1">
      <c r="B229" s="84"/>
      <c r="D229" s="94"/>
      <c r="E229" s="11"/>
      <c r="F229" s="11"/>
      <c r="I229" s="31"/>
      <c r="J229" s="31"/>
      <c r="L229" s="31"/>
      <c r="M229" s="31"/>
      <c r="N229" s="31"/>
      <c r="O229" s="31"/>
      <c r="P229" s="31"/>
      <c r="Q229" s="31"/>
      <c r="R229" s="31"/>
      <c r="S229" s="31"/>
      <c r="T229" s="31"/>
      <c r="U229" s="31"/>
      <c r="V229" s="31"/>
      <c r="W229" s="31"/>
      <c r="X229" s="31"/>
      <c r="Y229" s="31"/>
      <c r="Z229" s="31"/>
      <c r="AA229" s="31"/>
    </row>
    <row r="230" ht="15.75" customHeight="1">
      <c r="B230" s="84"/>
      <c r="D230" s="94"/>
      <c r="E230" s="11"/>
      <c r="F230" s="11"/>
      <c r="I230" s="31"/>
      <c r="J230" s="31"/>
      <c r="L230" s="31"/>
      <c r="M230" s="31"/>
      <c r="N230" s="31"/>
      <c r="O230" s="31"/>
      <c r="P230" s="31"/>
      <c r="Q230" s="31"/>
      <c r="R230" s="31"/>
      <c r="S230" s="31"/>
      <c r="T230" s="31"/>
      <c r="U230" s="31"/>
      <c r="V230" s="31"/>
      <c r="W230" s="31"/>
      <c r="X230" s="31"/>
      <c r="Y230" s="31"/>
      <c r="Z230" s="31"/>
      <c r="AA230" s="31"/>
    </row>
    <row r="231" ht="15.75" customHeight="1">
      <c r="B231" s="84"/>
      <c r="D231" s="94"/>
      <c r="E231" s="11"/>
      <c r="F231" s="11"/>
      <c r="I231" s="31"/>
      <c r="J231" s="31"/>
      <c r="L231" s="31"/>
      <c r="M231" s="31"/>
      <c r="N231" s="31"/>
      <c r="O231" s="31"/>
      <c r="P231" s="31"/>
      <c r="Q231" s="31"/>
      <c r="R231" s="31"/>
      <c r="S231" s="31"/>
      <c r="T231" s="31"/>
      <c r="U231" s="31"/>
      <c r="V231" s="31"/>
      <c r="W231" s="31"/>
      <c r="X231" s="31"/>
      <c r="Y231" s="31"/>
      <c r="Z231" s="31"/>
      <c r="AA231" s="31"/>
    </row>
    <row r="232" ht="15.75" customHeight="1">
      <c r="B232" s="84"/>
      <c r="D232" s="94"/>
      <c r="E232" s="11"/>
      <c r="F232" s="11"/>
      <c r="I232" s="31"/>
      <c r="J232" s="31"/>
      <c r="L232" s="31"/>
      <c r="M232" s="31"/>
      <c r="N232" s="31"/>
      <c r="O232" s="31"/>
      <c r="P232" s="31"/>
      <c r="Q232" s="31"/>
      <c r="R232" s="31"/>
      <c r="S232" s="31"/>
      <c r="T232" s="31"/>
      <c r="U232" s="31"/>
      <c r="V232" s="31"/>
      <c r="W232" s="31"/>
      <c r="X232" s="31"/>
      <c r="Y232" s="31"/>
      <c r="Z232" s="31"/>
      <c r="AA232" s="31"/>
    </row>
    <row r="233" ht="15.75" customHeight="1">
      <c r="B233" s="84"/>
      <c r="D233" s="94"/>
      <c r="E233" s="11"/>
      <c r="F233" s="11"/>
      <c r="I233" s="31"/>
      <c r="J233" s="31"/>
      <c r="L233" s="31"/>
      <c r="M233" s="31"/>
      <c r="N233" s="31"/>
      <c r="O233" s="31"/>
      <c r="P233" s="31"/>
      <c r="Q233" s="31"/>
      <c r="R233" s="31"/>
      <c r="S233" s="31"/>
      <c r="T233" s="31"/>
      <c r="U233" s="31"/>
      <c r="V233" s="31"/>
      <c r="W233" s="31"/>
      <c r="X233" s="31"/>
      <c r="Y233" s="31"/>
      <c r="Z233" s="31"/>
      <c r="AA233" s="31"/>
    </row>
    <row r="234" ht="15.75" customHeight="1">
      <c r="B234" s="84"/>
      <c r="D234" s="94"/>
      <c r="E234" s="11"/>
      <c r="F234" s="11"/>
      <c r="I234" s="31"/>
      <c r="J234" s="31"/>
      <c r="L234" s="31"/>
      <c r="M234" s="31"/>
      <c r="N234" s="31"/>
      <c r="O234" s="31"/>
      <c r="P234" s="31"/>
      <c r="Q234" s="31"/>
      <c r="R234" s="31"/>
      <c r="S234" s="31"/>
      <c r="T234" s="31"/>
      <c r="U234" s="31"/>
      <c r="V234" s="31"/>
      <c r="W234" s="31"/>
      <c r="X234" s="31"/>
      <c r="Y234" s="31"/>
      <c r="Z234" s="31"/>
      <c r="AA234" s="31"/>
    </row>
    <row r="235" ht="15.75" customHeight="1">
      <c r="B235" s="84"/>
      <c r="D235" s="94"/>
      <c r="E235" s="11"/>
      <c r="F235" s="11"/>
      <c r="I235" s="31"/>
      <c r="J235" s="31"/>
      <c r="L235" s="31"/>
      <c r="M235" s="31"/>
      <c r="N235" s="31"/>
      <c r="O235" s="31"/>
      <c r="P235" s="31"/>
      <c r="Q235" s="31"/>
      <c r="R235" s="31"/>
      <c r="S235" s="31"/>
      <c r="T235" s="31"/>
      <c r="U235" s="31"/>
      <c r="V235" s="31"/>
      <c r="W235" s="31"/>
      <c r="X235" s="31"/>
      <c r="Y235" s="31"/>
      <c r="Z235" s="31"/>
      <c r="AA235" s="31"/>
    </row>
    <row r="236" ht="15.75" customHeight="1">
      <c r="B236" s="84"/>
      <c r="D236" s="94"/>
      <c r="E236" s="11"/>
      <c r="F236" s="11"/>
      <c r="I236" s="31"/>
      <c r="J236" s="31"/>
      <c r="L236" s="31"/>
      <c r="M236" s="31"/>
      <c r="N236" s="31"/>
      <c r="O236" s="31"/>
      <c r="P236" s="31"/>
      <c r="Q236" s="31"/>
      <c r="R236" s="31"/>
      <c r="S236" s="31"/>
      <c r="T236" s="31"/>
      <c r="U236" s="31"/>
      <c r="V236" s="31"/>
      <c r="W236" s="31"/>
      <c r="X236" s="31"/>
      <c r="Y236" s="31"/>
      <c r="Z236" s="31"/>
      <c r="AA236" s="31"/>
    </row>
    <row r="237" ht="15.75" customHeight="1">
      <c r="B237" s="84"/>
      <c r="D237" s="94"/>
      <c r="E237" s="11"/>
      <c r="F237" s="11"/>
      <c r="I237" s="31"/>
      <c r="J237" s="31"/>
      <c r="L237" s="31"/>
      <c r="M237" s="31"/>
      <c r="N237" s="31"/>
      <c r="O237" s="31"/>
      <c r="P237" s="31"/>
      <c r="Q237" s="31"/>
      <c r="R237" s="31"/>
      <c r="S237" s="31"/>
      <c r="T237" s="31"/>
      <c r="U237" s="31"/>
      <c r="V237" s="31"/>
      <c r="W237" s="31"/>
      <c r="X237" s="31"/>
      <c r="Y237" s="31"/>
      <c r="Z237" s="31"/>
      <c r="AA237" s="31"/>
    </row>
    <row r="238" ht="15.75" customHeight="1">
      <c r="B238" s="84"/>
      <c r="D238" s="94"/>
      <c r="E238" s="11"/>
      <c r="F238" s="11"/>
      <c r="I238" s="31"/>
      <c r="J238" s="31"/>
      <c r="L238" s="31"/>
      <c r="M238" s="31"/>
      <c r="N238" s="31"/>
      <c r="O238" s="31"/>
      <c r="P238" s="31"/>
      <c r="Q238" s="31"/>
      <c r="R238" s="31"/>
      <c r="S238" s="31"/>
      <c r="T238" s="31"/>
      <c r="U238" s="31"/>
      <c r="V238" s="31"/>
      <c r="W238" s="31"/>
      <c r="X238" s="31"/>
      <c r="Y238" s="31"/>
      <c r="Z238" s="31"/>
      <c r="AA238" s="31"/>
    </row>
    <row r="239" ht="15.75" customHeight="1">
      <c r="B239" s="84"/>
      <c r="D239" s="94"/>
      <c r="E239" s="11"/>
      <c r="F239" s="11"/>
      <c r="I239" s="31"/>
      <c r="J239" s="31"/>
      <c r="L239" s="31"/>
      <c r="M239" s="31"/>
      <c r="N239" s="31"/>
      <c r="O239" s="31"/>
      <c r="P239" s="31"/>
      <c r="Q239" s="31"/>
      <c r="R239" s="31"/>
      <c r="S239" s="31"/>
      <c r="T239" s="31"/>
      <c r="U239" s="31"/>
      <c r="V239" s="31"/>
      <c r="W239" s="31"/>
      <c r="X239" s="31"/>
      <c r="Y239" s="31"/>
      <c r="Z239" s="31"/>
      <c r="AA239" s="31"/>
    </row>
    <row r="240" ht="15.75" customHeight="1">
      <c r="B240" s="84"/>
      <c r="D240" s="94"/>
      <c r="E240" s="11"/>
      <c r="F240" s="11"/>
      <c r="I240" s="31"/>
      <c r="J240" s="31"/>
      <c r="L240" s="31"/>
      <c r="M240" s="31"/>
      <c r="N240" s="31"/>
      <c r="O240" s="31"/>
      <c r="P240" s="31"/>
      <c r="Q240" s="31"/>
      <c r="R240" s="31"/>
      <c r="S240" s="31"/>
      <c r="T240" s="31"/>
      <c r="U240" s="31"/>
      <c r="V240" s="31"/>
      <c r="W240" s="31"/>
      <c r="X240" s="31"/>
      <c r="Y240" s="31"/>
      <c r="Z240" s="31"/>
      <c r="AA240" s="31"/>
    </row>
    <row r="241" ht="15.75" customHeight="1">
      <c r="B241" s="84"/>
      <c r="D241" s="94"/>
      <c r="E241" s="11"/>
      <c r="F241" s="11"/>
      <c r="I241" s="31"/>
      <c r="J241" s="31"/>
      <c r="L241" s="31"/>
      <c r="M241" s="31"/>
      <c r="N241" s="31"/>
      <c r="O241" s="31"/>
      <c r="P241" s="31"/>
      <c r="Q241" s="31"/>
      <c r="R241" s="31"/>
      <c r="S241" s="31"/>
      <c r="T241" s="31"/>
      <c r="U241" s="31"/>
      <c r="V241" s="31"/>
      <c r="W241" s="31"/>
      <c r="X241" s="31"/>
      <c r="Y241" s="31"/>
      <c r="Z241" s="31"/>
      <c r="AA241" s="31"/>
    </row>
    <row r="242" ht="15.75" customHeight="1">
      <c r="B242" s="84"/>
      <c r="D242" s="94"/>
      <c r="E242" s="11"/>
      <c r="F242" s="11"/>
      <c r="I242" s="31"/>
      <c r="J242" s="31"/>
      <c r="L242" s="31"/>
      <c r="M242" s="31"/>
      <c r="N242" s="31"/>
      <c r="O242" s="31"/>
      <c r="P242" s="31"/>
      <c r="Q242" s="31"/>
      <c r="R242" s="31"/>
      <c r="S242" s="31"/>
      <c r="T242" s="31"/>
      <c r="U242" s="31"/>
      <c r="V242" s="31"/>
      <c r="W242" s="31"/>
      <c r="X242" s="31"/>
      <c r="Y242" s="31"/>
      <c r="Z242" s="31"/>
      <c r="AA242" s="31"/>
    </row>
    <row r="243" ht="15.75" customHeight="1">
      <c r="B243" s="84"/>
      <c r="D243" s="94"/>
      <c r="E243" s="11"/>
      <c r="F243" s="11"/>
      <c r="I243" s="31"/>
      <c r="J243" s="31"/>
      <c r="L243" s="31"/>
      <c r="M243" s="31"/>
      <c r="N243" s="31"/>
      <c r="O243" s="31"/>
      <c r="P243" s="31"/>
      <c r="Q243" s="31"/>
      <c r="R243" s="31"/>
      <c r="S243" s="31"/>
      <c r="T243" s="31"/>
      <c r="U243" s="31"/>
      <c r="V243" s="31"/>
      <c r="W243" s="31"/>
      <c r="X243" s="31"/>
      <c r="Y243" s="31"/>
      <c r="Z243" s="31"/>
      <c r="AA243" s="31"/>
    </row>
    <row r="244" ht="15.75" customHeight="1">
      <c r="B244" s="84"/>
      <c r="D244" s="94"/>
      <c r="E244" s="11"/>
      <c r="F244" s="11"/>
      <c r="I244" s="31"/>
      <c r="J244" s="31"/>
      <c r="L244" s="31"/>
      <c r="M244" s="31"/>
      <c r="N244" s="31"/>
      <c r="O244" s="31"/>
      <c r="P244" s="31"/>
      <c r="Q244" s="31"/>
      <c r="R244" s="31"/>
      <c r="S244" s="31"/>
      <c r="T244" s="31"/>
      <c r="U244" s="31"/>
      <c r="V244" s="31"/>
      <c r="W244" s="31"/>
      <c r="X244" s="31"/>
      <c r="Y244" s="31"/>
      <c r="Z244" s="31"/>
      <c r="AA244" s="31"/>
    </row>
    <row r="245" ht="15.75" customHeight="1">
      <c r="B245" s="84"/>
      <c r="D245" s="94"/>
      <c r="E245" s="11"/>
      <c r="F245" s="11"/>
      <c r="I245" s="31"/>
      <c r="J245" s="31"/>
      <c r="L245" s="31"/>
      <c r="M245" s="31"/>
      <c r="N245" s="31"/>
      <c r="O245" s="31"/>
      <c r="P245" s="31"/>
      <c r="Q245" s="31"/>
      <c r="R245" s="31"/>
      <c r="S245" s="31"/>
      <c r="T245" s="31"/>
      <c r="U245" s="31"/>
      <c r="V245" s="31"/>
      <c r="W245" s="31"/>
      <c r="X245" s="31"/>
      <c r="Y245" s="31"/>
      <c r="Z245" s="31"/>
      <c r="AA245" s="31"/>
    </row>
    <row r="246" ht="15.75" customHeight="1">
      <c r="B246" s="84"/>
      <c r="D246" s="94"/>
      <c r="E246" s="11"/>
      <c r="F246" s="11"/>
      <c r="I246" s="31"/>
      <c r="J246" s="31"/>
      <c r="L246" s="31"/>
      <c r="M246" s="31"/>
      <c r="N246" s="31"/>
      <c r="O246" s="31"/>
      <c r="P246" s="31"/>
      <c r="Q246" s="31"/>
      <c r="R246" s="31"/>
      <c r="S246" s="31"/>
      <c r="T246" s="31"/>
      <c r="U246" s="31"/>
      <c r="V246" s="31"/>
      <c r="W246" s="31"/>
      <c r="X246" s="31"/>
      <c r="Y246" s="31"/>
      <c r="Z246" s="31"/>
      <c r="AA246" s="31"/>
    </row>
    <row r="247" ht="15.75" customHeight="1">
      <c r="B247" s="84"/>
      <c r="D247" s="94"/>
      <c r="E247" s="11"/>
      <c r="F247" s="11"/>
      <c r="I247" s="31"/>
      <c r="J247" s="31"/>
      <c r="L247" s="31"/>
      <c r="M247" s="31"/>
      <c r="N247" s="31"/>
      <c r="O247" s="31"/>
      <c r="P247" s="31"/>
      <c r="Q247" s="31"/>
      <c r="R247" s="31"/>
      <c r="S247" s="31"/>
      <c r="T247" s="31"/>
      <c r="U247" s="31"/>
      <c r="V247" s="31"/>
      <c r="W247" s="31"/>
      <c r="X247" s="31"/>
      <c r="Y247" s="31"/>
      <c r="Z247" s="31"/>
      <c r="AA247" s="31"/>
    </row>
    <row r="248" ht="15.75" customHeight="1">
      <c r="B248" s="84"/>
      <c r="D248" s="94"/>
      <c r="E248" s="11"/>
      <c r="F248" s="11"/>
      <c r="I248" s="31"/>
      <c r="J248" s="31"/>
      <c r="L248" s="31"/>
      <c r="M248" s="31"/>
      <c r="N248" s="31"/>
      <c r="O248" s="31"/>
      <c r="P248" s="31"/>
      <c r="Q248" s="31"/>
      <c r="R248" s="31"/>
      <c r="S248" s="31"/>
      <c r="T248" s="31"/>
      <c r="U248" s="31"/>
      <c r="V248" s="31"/>
      <c r="W248" s="31"/>
      <c r="X248" s="31"/>
      <c r="Y248" s="31"/>
      <c r="Z248" s="31"/>
      <c r="AA248" s="31"/>
    </row>
    <row r="249" ht="15.75" customHeight="1">
      <c r="B249" s="84"/>
      <c r="D249" s="94"/>
      <c r="E249" s="11"/>
      <c r="F249" s="11"/>
      <c r="I249" s="31"/>
      <c r="J249" s="31"/>
      <c r="L249" s="31"/>
      <c r="M249" s="31"/>
      <c r="N249" s="31"/>
      <c r="O249" s="31"/>
      <c r="P249" s="31"/>
      <c r="Q249" s="31"/>
      <c r="R249" s="31"/>
      <c r="S249" s="31"/>
      <c r="T249" s="31"/>
      <c r="U249" s="31"/>
      <c r="V249" s="31"/>
      <c r="W249" s="31"/>
      <c r="X249" s="31"/>
      <c r="Y249" s="31"/>
      <c r="Z249" s="31"/>
      <c r="AA249" s="31"/>
    </row>
    <row r="250" ht="15.75" customHeight="1">
      <c r="B250" s="84"/>
      <c r="D250" s="94"/>
      <c r="E250" s="11"/>
      <c r="F250" s="11"/>
      <c r="I250" s="31"/>
      <c r="J250" s="31"/>
      <c r="L250" s="31"/>
      <c r="M250" s="31"/>
      <c r="N250" s="31"/>
      <c r="O250" s="31"/>
      <c r="P250" s="31"/>
      <c r="Q250" s="31"/>
      <c r="R250" s="31"/>
      <c r="S250" s="31"/>
      <c r="T250" s="31"/>
      <c r="U250" s="31"/>
      <c r="V250" s="31"/>
      <c r="W250" s="31"/>
      <c r="X250" s="31"/>
      <c r="Y250" s="31"/>
      <c r="Z250" s="31"/>
      <c r="AA250" s="31"/>
    </row>
    <row r="251" ht="15.75" customHeight="1">
      <c r="B251" s="84"/>
      <c r="D251" s="94"/>
      <c r="E251" s="11"/>
      <c r="F251" s="11"/>
      <c r="I251" s="31"/>
      <c r="J251" s="31"/>
      <c r="L251" s="31"/>
      <c r="M251" s="31"/>
      <c r="N251" s="31"/>
      <c r="O251" s="31"/>
      <c r="P251" s="31"/>
      <c r="Q251" s="31"/>
      <c r="R251" s="31"/>
      <c r="S251" s="31"/>
      <c r="T251" s="31"/>
      <c r="U251" s="31"/>
      <c r="V251" s="31"/>
      <c r="W251" s="31"/>
      <c r="X251" s="31"/>
      <c r="Y251" s="31"/>
      <c r="Z251" s="31"/>
      <c r="AA251" s="31"/>
    </row>
    <row r="252" ht="15.75" customHeight="1">
      <c r="B252" s="84"/>
      <c r="D252" s="94"/>
      <c r="E252" s="11"/>
      <c r="F252" s="11"/>
      <c r="I252" s="31"/>
      <c r="J252" s="31"/>
      <c r="L252" s="31"/>
      <c r="M252" s="31"/>
      <c r="N252" s="31"/>
      <c r="O252" s="31"/>
      <c r="P252" s="31"/>
      <c r="Q252" s="31"/>
      <c r="R252" s="31"/>
      <c r="S252" s="31"/>
      <c r="T252" s="31"/>
      <c r="U252" s="31"/>
      <c r="V252" s="31"/>
      <c r="W252" s="31"/>
      <c r="X252" s="31"/>
      <c r="Y252" s="31"/>
      <c r="Z252" s="31"/>
      <c r="AA252" s="31"/>
    </row>
    <row r="253" ht="15.75" customHeight="1">
      <c r="B253" s="84"/>
      <c r="D253" s="94"/>
      <c r="E253" s="11"/>
      <c r="F253" s="11"/>
      <c r="I253" s="31"/>
      <c r="J253" s="31"/>
      <c r="L253" s="31"/>
      <c r="M253" s="31"/>
      <c r="N253" s="31"/>
      <c r="O253" s="31"/>
      <c r="P253" s="31"/>
      <c r="Q253" s="31"/>
      <c r="R253" s="31"/>
      <c r="S253" s="31"/>
      <c r="T253" s="31"/>
      <c r="U253" s="31"/>
      <c r="V253" s="31"/>
      <c r="W253" s="31"/>
      <c r="X253" s="31"/>
      <c r="Y253" s="31"/>
      <c r="Z253" s="31"/>
      <c r="AA253" s="31"/>
    </row>
    <row r="254" ht="15.75" customHeight="1">
      <c r="B254" s="84"/>
      <c r="D254" s="94"/>
      <c r="E254" s="11"/>
      <c r="F254" s="11"/>
      <c r="I254" s="31"/>
      <c r="J254" s="31"/>
      <c r="L254" s="31"/>
      <c r="M254" s="31"/>
      <c r="N254" s="31"/>
      <c r="O254" s="31"/>
      <c r="P254" s="31"/>
      <c r="Q254" s="31"/>
      <c r="R254" s="31"/>
      <c r="S254" s="31"/>
      <c r="T254" s="31"/>
      <c r="U254" s="31"/>
      <c r="V254" s="31"/>
      <c r="W254" s="31"/>
      <c r="X254" s="31"/>
      <c r="Y254" s="31"/>
      <c r="Z254" s="31"/>
      <c r="AA254" s="31"/>
    </row>
    <row r="255" ht="15.75" customHeight="1">
      <c r="B255" s="84"/>
      <c r="D255" s="94"/>
      <c r="E255" s="11"/>
      <c r="F255" s="11"/>
      <c r="I255" s="31"/>
      <c r="J255" s="31"/>
      <c r="L255" s="31"/>
      <c r="M255" s="31"/>
      <c r="N255" s="31"/>
      <c r="O255" s="31"/>
      <c r="P255" s="31"/>
      <c r="Q255" s="31"/>
      <c r="R255" s="31"/>
      <c r="S255" s="31"/>
      <c r="T255" s="31"/>
      <c r="U255" s="31"/>
      <c r="V255" s="31"/>
      <c r="W255" s="31"/>
      <c r="X255" s="31"/>
      <c r="Y255" s="31"/>
      <c r="Z255" s="31"/>
      <c r="AA255" s="31"/>
    </row>
    <row r="256" ht="15.75" customHeight="1">
      <c r="B256" s="84"/>
      <c r="D256" s="94"/>
      <c r="E256" s="11"/>
      <c r="F256" s="11"/>
      <c r="I256" s="31"/>
      <c r="J256" s="31"/>
      <c r="L256" s="31"/>
      <c r="M256" s="31"/>
      <c r="N256" s="31"/>
      <c r="O256" s="31"/>
      <c r="P256" s="31"/>
      <c r="Q256" s="31"/>
      <c r="R256" s="31"/>
      <c r="S256" s="31"/>
      <c r="T256" s="31"/>
      <c r="U256" s="31"/>
      <c r="V256" s="31"/>
      <c r="W256" s="31"/>
      <c r="X256" s="31"/>
      <c r="Y256" s="31"/>
      <c r="Z256" s="31"/>
      <c r="AA256" s="31"/>
    </row>
    <row r="257" ht="15.75" customHeight="1">
      <c r="B257" s="84"/>
      <c r="D257" s="94"/>
      <c r="E257" s="11"/>
      <c r="F257" s="11"/>
      <c r="I257" s="31"/>
      <c r="J257" s="31"/>
      <c r="L257" s="31"/>
      <c r="M257" s="31"/>
      <c r="N257" s="31"/>
      <c r="O257" s="31"/>
      <c r="P257" s="31"/>
      <c r="Q257" s="31"/>
      <c r="R257" s="31"/>
      <c r="S257" s="31"/>
      <c r="T257" s="31"/>
      <c r="U257" s="31"/>
      <c r="V257" s="31"/>
      <c r="W257" s="31"/>
      <c r="X257" s="31"/>
      <c r="Y257" s="31"/>
      <c r="Z257" s="31"/>
      <c r="AA257" s="31"/>
    </row>
    <row r="258" ht="15.75" customHeight="1">
      <c r="B258" s="84"/>
      <c r="D258" s="94"/>
      <c r="E258" s="11"/>
      <c r="F258" s="11"/>
      <c r="I258" s="31"/>
      <c r="J258" s="31"/>
      <c r="L258" s="31"/>
      <c r="M258" s="31"/>
      <c r="N258" s="31"/>
      <c r="O258" s="31"/>
      <c r="P258" s="31"/>
      <c r="Q258" s="31"/>
      <c r="R258" s="31"/>
      <c r="S258" s="31"/>
      <c r="T258" s="31"/>
      <c r="U258" s="31"/>
      <c r="V258" s="31"/>
      <c r="W258" s="31"/>
      <c r="X258" s="31"/>
      <c r="Y258" s="31"/>
      <c r="Z258" s="31"/>
      <c r="AA258" s="31"/>
    </row>
    <row r="259" ht="15.75" customHeight="1">
      <c r="B259" s="84"/>
      <c r="D259" s="94"/>
      <c r="E259" s="11"/>
      <c r="F259" s="11"/>
      <c r="I259" s="31"/>
      <c r="J259" s="31"/>
      <c r="L259" s="31"/>
      <c r="M259" s="31"/>
      <c r="N259" s="31"/>
      <c r="O259" s="31"/>
      <c r="P259" s="31"/>
      <c r="Q259" s="31"/>
      <c r="R259" s="31"/>
      <c r="S259" s="31"/>
      <c r="T259" s="31"/>
      <c r="U259" s="31"/>
      <c r="V259" s="31"/>
      <c r="W259" s="31"/>
      <c r="X259" s="31"/>
      <c r="Y259" s="31"/>
      <c r="Z259" s="31"/>
      <c r="AA259" s="31"/>
    </row>
    <row r="260" ht="15.75" customHeight="1">
      <c r="B260" s="84"/>
      <c r="D260" s="94"/>
      <c r="E260" s="11"/>
      <c r="F260" s="11"/>
      <c r="I260" s="31"/>
      <c r="J260" s="31"/>
      <c r="L260" s="31"/>
      <c r="M260" s="31"/>
      <c r="N260" s="31"/>
      <c r="O260" s="31"/>
      <c r="P260" s="31"/>
      <c r="Q260" s="31"/>
      <c r="R260" s="31"/>
      <c r="S260" s="31"/>
      <c r="T260" s="31"/>
      <c r="U260" s="31"/>
      <c r="V260" s="31"/>
      <c r="W260" s="31"/>
      <c r="X260" s="31"/>
      <c r="Y260" s="31"/>
      <c r="Z260" s="31"/>
      <c r="AA260" s="31"/>
    </row>
    <row r="261" ht="15.75" customHeight="1">
      <c r="B261" s="84"/>
      <c r="D261" s="94"/>
      <c r="E261" s="11"/>
      <c r="F261" s="11"/>
      <c r="I261" s="31"/>
      <c r="J261" s="31"/>
      <c r="L261" s="31"/>
      <c r="M261" s="31"/>
      <c r="N261" s="31"/>
      <c r="O261" s="31"/>
      <c r="P261" s="31"/>
      <c r="Q261" s="31"/>
      <c r="R261" s="31"/>
      <c r="S261" s="31"/>
      <c r="T261" s="31"/>
      <c r="U261" s="31"/>
      <c r="V261" s="31"/>
      <c r="W261" s="31"/>
      <c r="X261" s="31"/>
      <c r="Y261" s="31"/>
      <c r="Z261" s="31"/>
      <c r="AA261" s="31"/>
    </row>
    <row r="262" ht="15.75" customHeight="1">
      <c r="B262" s="84"/>
      <c r="D262" s="94"/>
      <c r="E262" s="11"/>
      <c r="F262" s="11"/>
      <c r="I262" s="31"/>
      <c r="J262" s="31"/>
      <c r="L262" s="31"/>
      <c r="M262" s="31"/>
      <c r="N262" s="31"/>
      <c r="O262" s="31"/>
      <c r="P262" s="31"/>
      <c r="Q262" s="31"/>
      <c r="R262" s="31"/>
      <c r="S262" s="31"/>
      <c r="T262" s="31"/>
      <c r="U262" s="31"/>
      <c r="V262" s="31"/>
      <c r="W262" s="31"/>
      <c r="X262" s="31"/>
      <c r="Y262" s="31"/>
      <c r="Z262" s="31"/>
      <c r="AA262" s="31"/>
    </row>
    <row r="263" ht="15.75" customHeight="1">
      <c r="B263" s="84"/>
      <c r="D263" s="94"/>
      <c r="E263" s="11"/>
      <c r="F263" s="11"/>
      <c r="I263" s="31"/>
      <c r="J263" s="31"/>
      <c r="L263" s="31"/>
      <c r="M263" s="31"/>
      <c r="N263" s="31"/>
      <c r="O263" s="31"/>
      <c r="P263" s="31"/>
      <c r="Q263" s="31"/>
      <c r="R263" s="31"/>
      <c r="S263" s="31"/>
      <c r="T263" s="31"/>
      <c r="U263" s="31"/>
      <c r="V263" s="31"/>
      <c r="W263" s="31"/>
      <c r="X263" s="31"/>
      <c r="Y263" s="31"/>
      <c r="Z263" s="31"/>
      <c r="AA263" s="31"/>
    </row>
    <row r="264" ht="15.75" customHeight="1">
      <c r="B264" s="84"/>
      <c r="D264" s="94"/>
      <c r="E264" s="11"/>
      <c r="F264" s="11"/>
      <c r="I264" s="31"/>
      <c r="J264" s="31"/>
      <c r="L264" s="31"/>
      <c r="M264" s="31"/>
      <c r="N264" s="31"/>
      <c r="O264" s="31"/>
      <c r="P264" s="31"/>
      <c r="Q264" s="31"/>
      <c r="R264" s="31"/>
      <c r="S264" s="31"/>
      <c r="T264" s="31"/>
      <c r="U264" s="31"/>
      <c r="V264" s="31"/>
      <c r="W264" s="31"/>
      <c r="X264" s="31"/>
      <c r="Y264" s="31"/>
      <c r="Z264" s="31"/>
      <c r="AA264" s="31"/>
    </row>
    <row r="265" ht="15.75" customHeight="1">
      <c r="B265" s="84"/>
      <c r="D265" s="94"/>
      <c r="E265" s="11"/>
      <c r="F265" s="11"/>
      <c r="I265" s="31"/>
      <c r="J265" s="31"/>
      <c r="L265" s="31"/>
      <c r="M265" s="31"/>
      <c r="N265" s="31"/>
      <c r="O265" s="31"/>
      <c r="P265" s="31"/>
      <c r="Q265" s="31"/>
      <c r="R265" s="31"/>
      <c r="S265" s="31"/>
      <c r="T265" s="31"/>
      <c r="U265" s="31"/>
      <c r="V265" s="31"/>
      <c r="W265" s="31"/>
      <c r="X265" s="31"/>
      <c r="Y265" s="31"/>
      <c r="Z265" s="31"/>
      <c r="AA265" s="31"/>
    </row>
    <row r="266" ht="15.75" customHeight="1">
      <c r="B266" s="84"/>
      <c r="D266" s="94"/>
      <c r="E266" s="11"/>
      <c r="F266" s="11"/>
      <c r="I266" s="31"/>
      <c r="J266" s="31"/>
      <c r="L266" s="31"/>
      <c r="M266" s="31"/>
      <c r="N266" s="31"/>
      <c r="O266" s="31"/>
      <c r="P266" s="31"/>
      <c r="Q266" s="31"/>
      <c r="R266" s="31"/>
      <c r="S266" s="31"/>
      <c r="T266" s="31"/>
      <c r="U266" s="31"/>
      <c r="V266" s="31"/>
      <c r="W266" s="31"/>
      <c r="X266" s="31"/>
      <c r="Y266" s="31"/>
      <c r="Z266" s="31"/>
      <c r="AA266" s="31"/>
    </row>
    <row r="267" ht="15.75" customHeight="1">
      <c r="B267" s="84"/>
      <c r="D267" s="94"/>
      <c r="E267" s="11"/>
      <c r="F267" s="11"/>
      <c r="I267" s="31"/>
      <c r="J267" s="31"/>
      <c r="L267" s="31"/>
      <c r="M267" s="31"/>
      <c r="N267" s="31"/>
      <c r="O267" s="31"/>
      <c r="P267" s="31"/>
      <c r="Q267" s="31"/>
      <c r="R267" s="31"/>
      <c r="S267" s="31"/>
      <c r="T267" s="31"/>
      <c r="U267" s="31"/>
      <c r="V267" s="31"/>
      <c r="W267" s="31"/>
      <c r="X267" s="31"/>
      <c r="Y267" s="31"/>
      <c r="Z267" s="31"/>
      <c r="AA267" s="31"/>
    </row>
    <row r="268" ht="15.75" customHeight="1">
      <c r="B268" s="84"/>
      <c r="D268" s="94"/>
      <c r="E268" s="11"/>
      <c r="F268" s="11"/>
      <c r="I268" s="31"/>
      <c r="J268" s="31"/>
      <c r="L268" s="31"/>
      <c r="M268" s="31"/>
      <c r="N268" s="31"/>
      <c r="O268" s="31"/>
      <c r="P268" s="31"/>
      <c r="Q268" s="31"/>
      <c r="R268" s="31"/>
      <c r="S268" s="31"/>
      <c r="T268" s="31"/>
      <c r="U268" s="31"/>
      <c r="V268" s="31"/>
      <c r="W268" s="31"/>
      <c r="X268" s="31"/>
      <c r="Y268" s="31"/>
      <c r="Z268" s="31"/>
      <c r="AA268" s="31"/>
    </row>
    <row r="269" ht="15.75" customHeight="1">
      <c r="B269" s="84"/>
      <c r="D269" s="94"/>
      <c r="E269" s="11"/>
      <c r="F269" s="11"/>
      <c r="I269" s="31"/>
      <c r="J269" s="31"/>
      <c r="L269" s="31"/>
      <c r="M269" s="31"/>
      <c r="N269" s="31"/>
      <c r="O269" s="31"/>
      <c r="P269" s="31"/>
      <c r="Q269" s="31"/>
      <c r="R269" s="31"/>
      <c r="S269" s="31"/>
      <c r="T269" s="31"/>
      <c r="U269" s="31"/>
      <c r="V269" s="31"/>
      <c r="W269" s="31"/>
      <c r="X269" s="31"/>
      <c r="Y269" s="31"/>
      <c r="Z269" s="31"/>
      <c r="AA269" s="31"/>
    </row>
    <row r="270" ht="15.75" customHeight="1">
      <c r="B270" s="84"/>
      <c r="D270" s="94"/>
      <c r="E270" s="11"/>
      <c r="F270" s="11"/>
      <c r="I270" s="31"/>
      <c r="J270" s="31"/>
      <c r="L270" s="31"/>
      <c r="M270" s="31"/>
      <c r="N270" s="31"/>
      <c r="O270" s="31"/>
      <c r="P270" s="31"/>
      <c r="Q270" s="31"/>
      <c r="R270" s="31"/>
      <c r="S270" s="31"/>
      <c r="T270" s="31"/>
      <c r="U270" s="31"/>
      <c r="V270" s="31"/>
      <c r="W270" s="31"/>
      <c r="X270" s="31"/>
      <c r="Y270" s="31"/>
      <c r="Z270" s="31"/>
      <c r="AA270" s="31"/>
    </row>
    <row r="271" ht="15.75" customHeight="1">
      <c r="B271" s="84"/>
      <c r="D271" s="94"/>
      <c r="E271" s="11"/>
      <c r="F271" s="11"/>
      <c r="I271" s="31"/>
      <c r="J271" s="31"/>
      <c r="L271" s="31"/>
      <c r="M271" s="31"/>
      <c r="N271" s="31"/>
      <c r="O271" s="31"/>
      <c r="P271" s="31"/>
      <c r="Q271" s="31"/>
      <c r="R271" s="31"/>
      <c r="S271" s="31"/>
      <c r="T271" s="31"/>
      <c r="U271" s="31"/>
      <c r="V271" s="31"/>
      <c r="W271" s="31"/>
      <c r="X271" s="31"/>
      <c r="Y271" s="31"/>
      <c r="Z271" s="31"/>
      <c r="AA271" s="31"/>
    </row>
    <row r="272" ht="15.75" customHeight="1">
      <c r="B272" s="84"/>
      <c r="D272" s="94"/>
      <c r="E272" s="11"/>
      <c r="F272" s="11"/>
      <c r="I272" s="31"/>
      <c r="J272" s="31"/>
      <c r="L272" s="31"/>
      <c r="M272" s="31"/>
      <c r="N272" s="31"/>
      <c r="O272" s="31"/>
      <c r="P272" s="31"/>
      <c r="Q272" s="31"/>
      <c r="R272" s="31"/>
      <c r="S272" s="31"/>
      <c r="T272" s="31"/>
      <c r="U272" s="31"/>
      <c r="V272" s="31"/>
      <c r="W272" s="31"/>
      <c r="X272" s="31"/>
      <c r="Y272" s="31"/>
      <c r="Z272" s="31"/>
      <c r="AA272" s="31"/>
    </row>
    <row r="273" ht="15.75" customHeight="1">
      <c r="B273" s="84"/>
      <c r="D273" s="94"/>
      <c r="E273" s="11"/>
      <c r="F273" s="11"/>
      <c r="I273" s="31"/>
      <c r="J273" s="31"/>
      <c r="L273" s="31"/>
      <c r="M273" s="31"/>
      <c r="N273" s="31"/>
      <c r="O273" s="31"/>
      <c r="P273" s="31"/>
      <c r="Q273" s="31"/>
      <c r="R273" s="31"/>
      <c r="S273" s="31"/>
      <c r="T273" s="31"/>
      <c r="U273" s="31"/>
      <c r="V273" s="31"/>
      <c r="W273" s="31"/>
      <c r="X273" s="31"/>
      <c r="Y273" s="31"/>
      <c r="Z273" s="31"/>
      <c r="AA273" s="31"/>
    </row>
    <row r="274" ht="15.75" customHeight="1">
      <c r="B274" s="84"/>
      <c r="D274" s="94"/>
      <c r="E274" s="11"/>
      <c r="F274" s="11"/>
      <c r="I274" s="31"/>
      <c r="J274" s="31"/>
      <c r="L274" s="31"/>
      <c r="M274" s="31"/>
      <c r="N274" s="31"/>
      <c r="O274" s="31"/>
      <c r="P274" s="31"/>
      <c r="Q274" s="31"/>
      <c r="R274" s="31"/>
      <c r="S274" s="31"/>
      <c r="T274" s="31"/>
      <c r="U274" s="31"/>
      <c r="V274" s="31"/>
      <c r="W274" s="31"/>
      <c r="X274" s="31"/>
      <c r="Y274" s="31"/>
      <c r="Z274" s="31"/>
      <c r="AA274" s="31"/>
    </row>
    <row r="275" ht="15.75" customHeight="1">
      <c r="B275" s="84"/>
      <c r="D275" s="94"/>
      <c r="E275" s="11"/>
      <c r="F275" s="11"/>
      <c r="I275" s="31"/>
      <c r="J275" s="31"/>
      <c r="L275" s="31"/>
      <c r="M275" s="31"/>
      <c r="N275" s="31"/>
      <c r="O275" s="31"/>
      <c r="P275" s="31"/>
      <c r="Q275" s="31"/>
      <c r="R275" s="31"/>
      <c r="S275" s="31"/>
      <c r="T275" s="31"/>
      <c r="U275" s="31"/>
      <c r="V275" s="31"/>
      <c r="W275" s="31"/>
      <c r="X275" s="31"/>
      <c r="Y275" s="31"/>
      <c r="Z275" s="31"/>
      <c r="AA275" s="31"/>
    </row>
    <row r="276" ht="15.75" customHeight="1">
      <c r="B276" s="84"/>
      <c r="D276" s="94"/>
      <c r="E276" s="11"/>
      <c r="F276" s="11"/>
      <c r="I276" s="31"/>
      <c r="J276" s="31"/>
      <c r="L276" s="31"/>
      <c r="M276" s="31"/>
      <c r="N276" s="31"/>
      <c r="O276" s="31"/>
      <c r="P276" s="31"/>
      <c r="Q276" s="31"/>
      <c r="R276" s="31"/>
      <c r="S276" s="31"/>
      <c r="T276" s="31"/>
      <c r="U276" s="31"/>
      <c r="V276" s="31"/>
      <c r="W276" s="31"/>
      <c r="X276" s="31"/>
      <c r="Y276" s="31"/>
      <c r="Z276" s="31"/>
      <c r="AA276" s="31"/>
    </row>
    <row r="277" ht="15.75" customHeight="1">
      <c r="B277" s="84"/>
      <c r="D277" s="94"/>
      <c r="E277" s="11"/>
      <c r="F277" s="11"/>
      <c r="I277" s="31"/>
      <c r="J277" s="31"/>
      <c r="L277" s="31"/>
      <c r="M277" s="31"/>
      <c r="N277" s="31"/>
      <c r="O277" s="31"/>
      <c r="P277" s="31"/>
      <c r="Q277" s="31"/>
      <c r="R277" s="31"/>
      <c r="S277" s="31"/>
      <c r="T277" s="31"/>
      <c r="U277" s="31"/>
      <c r="V277" s="31"/>
      <c r="W277" s="31"/>
      <c r="X277" s="31"/>
      <c r="Y277" s="31"/>
      <c r="Z277" s="31"/>
      <c r="AA277" s="31"/>
    </row>
    <row r="278" ht="15.75" customHeight="1">
      <c r="B278" s="84"/>
      <c r="D278" s="94"/>
      <c r="E278" s="11"/>
      <c r="F278" s="11"/>
      <c r="I278" s="31"/>
      <c r="J278" s="31"/>
      <c r="L278" s="31"/>
      <c r="M278" s="31"/>
      <c r="N278" s="31"/>
      <c r="O278" s="31"/>
      <c r="P278" s="31"/>
      <c r="Q278" s="31"/>
      <c r="R278" s="31"/>
      <c r="S278" s="31"/>
      <c r="T278" s="31"/>
      <c r="U278" s="31"/>
      <c r="V278" s="31"/>
      <c r="W278" s="31"/>
      <c r="X278" s="31"/>
      <c r="Y278" s="31"/>
      <c r="Z278" s="31"/>
      <c r="AA278" s="31"/>
    </row>
    <row r="279" ht="15.75" customHeight="1">
      <c r="B279" s="84"/>
      <c r="D279" s="94"/>
      <c r="E279" s="11"/>
      <c r="F279" s="11"/>
      <c r="I279" s="31"/>
      <c r="J279" s="31"/>
      <c r="L279" s="31"/>
      <c r="M279" s="31"/>
      <c r="N279" s="31"/>
      <c r="O279" s="31"/>
      <c r="P279" s="31"/>
      <c r="Q279" s="31"/>
      <c r="R279" s="31"/>
      <c r="S279" s="31"/>
      <c r="T279" s="31"/>
      <c r="U279" s="31"/>
      <c r="V279" s="31"/>
      <c r="W279" s="31"/>
      <c r="X279" s="31"/>
      <c r="Y279" s="31"/>
      <c r="Z279" s="31"/>
      <c r="AA279" s="31"/>
    </row>
    <row r="280" ht="15.75" customHeight="1">
      <c r="B280" s="84"/>
      <c r="D280" s="94"/>
      <c r="E280" s="11"/>
      <c r="F280" s="11"/>
      <c r="I280" s="31"/>
      <c r="J280" s="31"/>
      <c r="L280" s="31"/>
      <c r="M280" s="31"/>
      <c r="N280" s="31"/>
      <c r="O280" s="31"/>
      <c r="P280" s="31"/>
      <c r="Q280" s="31"/>
      <c r="R280" s="31"/>
      <c r="S280" s="31"/>
      <c r="T280" s="31"/>
      <c r="U280" s="31"/>
      <c r="V280" s="31"/>
      <c r="W280" s="31"/>
      <c r="X280" s="31"/>
      <c r="Y280" s="31"/>
      <c r="Z280" s="31"/>
      <c r="AA280" s="31"/>
    </row>
    <row r="281" ht="15.75" customHeight="1">
      <c r="B281" s="84"/>
      <c r="D281" s="94"/>
      <c r="E281" s="11"/>
      <c r="F281" s="11"/>
      <c r="I281" s="31"/>
      <c r="J281" s="31"/>
      <c r="L281" s="31"/>
      <c r="M281" s="31"/>
      <c r="N281" s="31"/>
      <c r="O281" s="31"/>
      <c r="P281" s="31"/>
      <c r="Q281" s="31"/>
      <c r="R281" s="31"/>
      <c r="S281" s="31"/>
      <c r="T281" s="31"/>
      <c r="U281" s="31"/>
      <c r="V281" s="31"/>
      <c r="W281" s="31"/>
      <c r="X281" s="31"/>
      <c r="Y281" s="31"/>
      <c r="Z281" s="31"/>
      <c r="AA281" s="31"/>
    </row>
    <row r="282" ht="15.75" customHeight="1">
      <c r="B282" s="84"/>
      <c r="D282" s="94"/>
      <c r="E282" s="11"/>
      <c r="F282" s="11"/>
      <c r="I282" s="31"/>
      <c r="J282" s="31"/>
      <c r="L282" s="31"/>
      <c r="M282" s="31"/>
      <c r="N282" s="31"/>
      <c r="O282" s="31"/>
      <c r="P282" s="31"/>
      <c r="Q282" s="31"/>
      <c r="R282" s="31"/>
      <c r="S282" s="31"/>
      <c r="T282" s="31"/>
      <c r="U282" s="31"/>
      <c r="V282" s="31"/>
      <c r="W282" s="31"/>
      <c r="X282" s="31"/>
      <c r="Y282" s="31"/>
      <c r="Z282" s="31"/>
      <c r="AA282" s="31"/>
    </row>
    <row r="283" ht="15.75" customHeight="1">
      <c r="B283" s="84"/>
      <c r="D283" s="94"/>
      <c r="E283" s="11"/>
      <c r="F283" s="11"/>
      <c r="I283" s="31"/>
      <c r="J283" s="31"/>
      <c r="L283" s="31"/>
      <c r="M283" s="31"/>
      <c r="N283" s="31"/>
      <c r="O283" s="31"/>
      <c r="P283" s="31"/>
      <c r="Q283" s="31"/>
      <c r="R283" s="31"/>
      <c r="S283" s="31"/>
      <c r="T283" s="31"/>
      <c r="U283" s="31"/>
      <c r="V283" s="31"/>
      <c r="W283" s="31"/>
      <c r="X283" s="31"/>
      <c r="Y283" s="31"/>
      <c r="Z283" s="31"/>
      <c r="AA283" s="31"/>
    </row>
    <row r="284" ht="15.75" customHeight="1">
      <c r="B284" s="84"/>
      <c r="D284" s="93"/>
      <c r="E284" s="11"/>
      <c r="F284" s="11"/>
      <c r="I284" s="31"/>
      <c r="J284" s="31"/>
      <c r="L284" s="31"/>
      <c r="M284" s="31"/>
      <c r="N284" s="31"/>
      <c r="O284" s="31"/>
      <c r="P284" s="31"/>
      <c r="Q284" s="31"/>
      <c r="R284" s="31"/>
      <c r="S284" s="31"/>
      <c r="T284" s="31"/>
      <c r="U284" s="31"/>
      <c r="V284" s="31"/>
      <c r="W284" s="31"/>
      <c r="X284" s="31"/>
      <c r="Y284" s="31"/>
      <c r="Z284" s="31"/>
      <c r="AA284" s="31"/>
    </row>
    <row r="285" ht="15.75" customHeight="1">
      <c r="B285" s="84"/>
      <c r="D285" s="93"/>
      <c r="E285" s="11"/>
      <c r="F285" s="11"/>
      <c r="I285" s="31"/>
      <c r="J285" s="31"/>
      <c r="L285" s="31"/>
      <c r="M285" s="31"/>
      <c r="N285" s="31"/>
      <c r="O285" s="31"/>
      <c r="P285" s="31"/>
      <c r="Q285" s="31"/>
      <c r="R285" s="31"/>
      <c r="S285" s="31"/>
      <c r="T285" s="31"/>
      <c r="U285" s="31"/>
      <c r="V285" s="31"/>
      <c r="W285" s="31"/>
      <c r="X285" s="31"/>
      <c r="Y285" s="31"/>
      <c r="Z285" s="31"/>
      <c r="AA285" s="31"/>
    </row>
    <row r="286" ht="15.75" customHeight="1">
      <c r="B286" s="84"/>
      <c r="D286" s="93"/>
      <c r="E286" s="11"/>
      <c r="F286" s="11"/>
      <c r="I286" s="31"/>
      <c r="J286" s="31"/>
      <c r="L286" s="31"/>
      <c r="M286" s="31"/>
      <c r="N286" s="31"/>
      <c r="O286" s="31"/>
      <c r="P286" s="31"/>
      <c r="Q286" s="31"/>
      <c r="R286" s="31"/>
      <c r="S286" s="31"/>
      <c r="T286" s="31"/>
      <c r="U286" s="31"/>
      <c r="V286" s="31"/>
      <c r="W286" s="31"/>
      <c r="X286" s="31"/>
      <c r="Y286" s="31"/>
      <c r="Z286" s="31"/>
      <c r="AA286" s="31"/>
    </row>
    <row r="287" ht="15.75" customHeight="1">
      <c r="B287" s="84"/>
      <c r="D287" s="93"/>
      <c r="E287" s="11"/>
      <c r="F287" s="11"/>
      <c r="I287" s="31"/>
      <c r="J287" s="31"/>
      <c r="L287" s="31"/>
      <c r="M287" s="31"/>
      <c r="N287" s="31"/>
      <c r="O287" s="31"/>
      <c r="P287" s="31"/>
      <c r="Q287" s="31"/>
      <c r="R287" s="31"/>
      <c r="S287" s="31"/>
      <c r="T287" s="31"/>
      <c r="U287" s="31"/>
      <c r="V287" s="31"/>
      <c r="W287" s="31"/>
      <c r="X287" s="31"/>
      <c r="Y287" s="31"/>
      <c r="Z287" s="31"/>
      <c r="AA287" s="31"/>
    </row>
    <row r="288" ht="15.75" customHeight="1">
      <c r="B288" s="84"/>
      <c r="D288" s="93"/>
      <c r="E288" s="11"/>
      <c r="F288" s="11"/>
      <c r="I288" s="31"/>
      <c r="J288" s="31"/>
      <c r="L288" s="31"/>
      <c r="M288" s="31"/>
      <c r="N288" s="31"/>
      <c r="O288" s="31"/>
      <c r="P288" s="31"/>
      <c r="Q288" s="31"/>
      <c r="R288" s="31"/>
      <c r="S288" s="31"/>
      <c r="T288" s="31"/>
      <c r="U288" s="31"/>
      <c r="V288" s="31"/>
      <c r="W288" s="31"/>
      <c r="X288" s="31"/>
      <c r="Y288" s="31"/>
      <c r="Z288" s="31"/>
      <c r="AA288" s="31"/>
    </row>
    <row r="289" ht="15.75" customHeight="1">
      <c r="B289" s="84"/>
      <c r="D289" s="93"/>
      <c r="E289" s="11"/>
      <c r="F289" s="11"/>
      <c r="I289" s="31"/>
      <c r="J289" s="31"/>
      <c r="L289" s="31"/>
      <c r="M289" s="31"/>
      <c r="N289" s="31"/>
      <c r="O289" s="31"/>
      <c r="P289" s="31"/>
      <c r="Q289" s="31"/>
      <c r="R289" s="31"/>
      <c r="S289" s="31"/>
      <c r="T289" s="31"/>
      <c r="U289" s="31"/>
      <c r="V289" s="31"/>
      <c r="W289" s="31"/>
      <c r="X289" s="31"/>
      <c r="Y289" s="31"/>
      <c r="Z289" s="31"/>
      <c r="AA289" s="31"/>
    </row>
    <row r="290" ht="15.75" customHeight="1">
      <c r="B290" s="84"/>
      <c r="D290" s="94"/>
      <c r="E290" s="11"/>
      <c r="F290" s="11"/>
      <c r="I290" s="31"/>
      <c r="J290" s="31"/>
      <c r="L290" s="31"/>
      <c r="M290" s="31"/>
      <c r="N290" s="31"/>
      <c r="O290" s="31"/>
      <c r="P290" s="31"/>
      <c r="Q290" s="31"/>
      <c r="R290" s="31"/>
      <c r="S290" s="31"/>
      <c r="T290" s="31"/>
      <c r="U290" s="31"/>
      <c r="V290" s="31"/>
      <c r="W290" s="31"/>
      <c r="X290" s="31"/>
      <c r="Y290" s="31"/>
      <c r="Z290" s="31"/>
      <c r="AA290" s="31"/>
    </row>
    <row r="291" ht="15.75" customHeight="1">
      <c r="B291" s="84"/>
      <c r="D291" s="93"/>
      <c r="E291" s="11"/>
      <c r="F291" s="11"/>
      <c r="I291" s="31"/>
      <c r="J291" s="31"/>
      <c r="L291" s="31"/>
      <c r="M291" s="31"/>
      <c r="N291" s="31"/>
      <c r="O291" s="31"/>
      <c r="P291" s="31"/>
      <c r="Q291" s="31"/>
      <c r="R291" s="31"/>
      <c r="S291" s="31"/>
      <c r="T291" s="31"/>
      <c r="U291" s="31"/>
      <c r="V291" s="31"/>
      <c r="W291" s="31"/>
      <c r="X291" s="31"/>
      <c r="Y291" s="31"/>
      <c r="Z291" s="31"/>
      <c r="AA291" s="31"/>
    </row>
    <row r="292" ht="15.75" customHeight="1">
      <c r="B292" s="84"/>
      <c r="D292" s="93"/>
      <c r="E292" s="11"/>
      <c r="F292" s="11"/>
      <c r="I292" s="31"/>
      <c r="J292" s="31"/>
      <c r="L292" s="31"/>
      <c r="M292" s="31"/>
      <c r="N292" s="31"/>
      <c r="O292" s="31"/>
      <c r="P292" s="31"/>
      <c r="Q292" s="31"/>
      <c r="R292" s="31"/>
      <c r="S292" s="31"/>
      <c r="T292" s="31"/>
      <c r="U292" s="31"/>
      <c r="V292" s="31"/>
      <c r="W292" s="31"/>
      <c r="X292" s="31"/>
      <c r="Y292" s="31"/>
      <c r="Z292" s="31"/>
      <c r="AA292" s="31"/>
    </row>
    <row r="293" ht="15.75" customHeight="1">
      <c r="B293" s="84"/>
      <c r="D293" s="94"/>
      <c r="E293" s="11"/>
      <c r="F293" s="11"/>
      <c r="I293" s="31"/>
      <c r="J293" s="31"/>
      <c r="L293" s="31"/>
      <c r="M293" s="31"/>
      <c r="N293" s="31"/>
      <c r="O293" s="31"/>
      <c r="P293" s="31"/>
      <c r="Q293" s="31"/>
      <c r="R293" s="31"/>
      <c r="S293" s="31"/>
      <c r="T293" s="31"/>
      <c r="U293" s="31"/>
      <c r="V293" s="31"/>
      <c r="W293" s="31"/>
      <c r="X293" s="31"/>
      <c r="Y293" s="31"/>
      <c r="Z293" s="31"/>
      <c r="AA293" s="31"/>
    </row>
    <row r="294" ht="15.75" customHeight="1">
      <c r="B294" s="84"/>
      <c r="D294" s="93"/>
      <c r="E294" s="11"/>
      <c r="F294" s="11"/>
      <c r="I294" s="31"/>
      <c r="J294" s="31"/>
      <c r="L294" s="31"/>
      <c r="M294" s="31"/>
      <c r="N294" s="31"/>
      <c r="O294" s="31"/>
      <c r="P294" s="31"/>
      <c r="Q294" s="31"/>
      <c r="R294" s="31"/>
      <c r="S294" s="31"/>
      <c r="T294" s="31"/>
      <c r="U294" s="31"/>
      <c r="V294" s="31"/>
      <c r="W294" s="31"/>
      <c r="X294" s="31"/>
      <c r="Y294" s="31"/>
      <c r="Z294" s="31"/>
      <c r="AA294" s="31"/>
    </row>
    <row r="295" ht="15.75" customHeight="1">
      <c r="B295" s="84"/>
      <c r="D295" s="94"/>
      <c r="E295" s="11"/>
      <c r="F295" s="11"/>
      <c r="I295" s="31"/>
      <c r="J295" s="31"/>
      <c r="L295" s="31"/>
      <c r="M295" s="31"/>
      <c r="N295" s="31"/>
      <c r="O295" s="31"/>
      <c r="P295" s="31"/>
      <c r="Q295" s="31"/>
      <c r="R295" s="31"/>
      <c r="S295" s="31"/>
      <c r="T295" s="31"/>
      <c r="U295" s="31"/>
      <c r="V295" s="31"/>
      <c r="W295" s="31"/>
      <c r="X295" s="31"/>
      <c r="Y295" s="31"/>
      <c r="Z295" s="31"/>
      <c r="AA295" s="31"/>
    </row>
    <row r="296" ht="15.75" customHeight="1">
      <c r="B296" s="84"/>
      <c r="D296" s="94"/>
      <c r="E296" s="11"/>
      <c r="F296" s="11"/>
      <c r="I296" s="31"/>
      <c r="J296" s="31"/>
      <c r="L296" s="31"/>
      <c r="M296" s="31"/>
      <c r="N296" s="31"/>
      <c r="O296" s="31"/>
      <c r="P296" s="31"/>
      <c r="Q296" s="31"/>
      <c r="R296" s="31"/>
      <c r="S296" s="31"/>
      <c r="T296" s="31"/>
      <c r="U296" s="31"/>
      <c r="V296" s="31"/>
      <c r="W296" s="31"/>
      <c r="X296" s="31"/>
      <c r="Y296" s="31"/>
      <c r="Z296" s="31"/>
      <c r="AA296" s="31"/>
    </row>
    <row r="297" ht="15.75" customHeight="1">
      <c r="B297" s="84"/>
      <c r="D297" s="94"/>
      <c r="E297" s="11"/>
      <c r="F297" s="11"/>
      <c r="I297" s="31"/>
      <c r="J297" s="31"/>
      <c r="L297" s="31"/>
      <c r="M297" s="31"/>
      <c r="N297" s="31"/>
      <c r="O297" s="31"/>
      <c r="P297" s="31"/>
      <c r="Q297" s="31"/>
      <c r="R297" s="31"/>
      <c r="S297" s="31"/>
      <c r="T297" s="31"/>
      <c r="U297" s="31"/>
      <c r="V297" s="31"/>
      <c r="W297" s="31"/>
      <c r="X297" s="31"/>
      <c r="Y297" s="31"/>
      <c r="Z297" s="31"/>
      <c r="AA297" s="31"/>
    </row>
    <row r="298" ht="15.75" customHeight="1">
      <c r="B298" s="84"/>
      <c r="D298" s="94"/>
      <c r="E298" s="11"/>
      <c r="F298" s="11"/>
      <c r="I298" s="31"/>
      <c r="J298" s="31"/>
      <c r="L298" s="31"/>
      <c r="M298" s="31"/>
      <c r="N298" s="31"/>
      <c r="O298" s="31"/>
      <c r="P298" s="31"/>
      <c r="Q298" s="31"/>
      <c r="R298" s="31"/>
      <c r="S298" s="31"/>
      <c r="T298" s="31"/>
      <c r="U298" s="31"/>
      <c r="V298" s="31"/>
      <c r="W298" s="31"/>
      <c r="X298" s="31"/>
      <c r="Y298" s="31"/>
      <c r="Z298" s="31"/>
      <c r="AA298" s="31"/>
    </row>
    <row r="299" ht="15.75" customHeight="1">
      <c r="B299" s="84"/>
      <c r="D299" s="94"/>
      <c r="E299" s="11"/>
      <c r="F299" s="11"/>
      <c r="I299" s="31"/>
      <c r="J299" s="31"/>
      <c r="L299" s="31"/>
      <c r="M299" s="31"/>
      <c r="N299" s="31"/>
      <c r="O299" s="31"/>
      <c r="P299" s="31"/>
      <c r="Q299" s="31"/>
      <c r="R299" s="31"/>
      <c r="S299" s="31"/>
      <c r="T299" s="31"/>
      <c r="U299" s="31"/>
      <c r="V299" s="31"/>
      <c r="W299" s="31"/>
      <c r="X299" s="31"/>
      <c r="Y299" s="31"/>
      <c r="Z299" s="31"/>
      <c r="AA299" s="31"/>
    </row>
    <row r="300" ht="15.75" customHeight="1">
      <c r="B300" s="84"/>
      <c r="D300" s="94"/>
      <c r="E300" s="11"/>
      <c r="F300" s="11"/>
      <c r="I300" s="31"/>
      <c r="J300" s="31"/>
      <c r="L300" s="31"/>
      <c r="M300" s="31"/>
      <c r="N300" s="31"/>
      <c r="O300" s="31"/>
      <c r="P300" s="31"/>
      <c r="Q300" s="31"/>
      <c r="R300" s="31"/>
      <c r="S300" s="31"/>
      <c r="T300" s="31"/>
      <c r="U300" s="31"/>
      <c r="V300" s="31"/>
      <c r="W300" s="31"/>
      <c r="X300" s="31"/>
      <c r="Y300" s="31"/>
      <c r="Z300" s="31"/>
      <c r="AA300" s="31"/>
    </row>
    <row r="301" ht="15.75" customHeight="1">
      <c r="B301" s="84"/>
      <c r="D301" s="94"/>
      <c r="E301" s="11"/>
      <c r="F301" s="11"/>
      <c r="I301" s="31"/>
      <c r="J301" s="31"/>
      <c r="L301" s="31"/>
      <c r="M301" s="31"/>
      <c r="N301" s="31"/>
      <c r="O301" s="31"/>
      <c r="P301" s="31"/>
      <c r="Q301" s="31"/>
      <c r="R301" s="31"/>
      <c r="S301" s="31"/>
      <c r="T301" s="31"/>
      <c r="U301" s="31"/>
      <c r="V301" s="31"/>
      <c r="W301" s="31"/>
      <c r="X301" s="31"/>
      <c r="Y301" s="31"/>
      <c r="Z301" s="31"/>
      <c r="AA301" s="31"/>
    </row>
    <row r="302" ht="15.75" customHeight="1">
      <c r="B302" s="84"/>
      <c r="D302" s="94"/>
      <c r="E302" s="11"/>
      <c r="F302" s="11"/>
      <c r="I302" s="31"/>
      <c r="J302" s="31"/>
      <c r="L302" s="31"/>
      <c r="M302" s="31"/>
      <c r="N302" s="31"/>
      <c r="O302" s="31"/>
      <c r="P302" s="31"/>
      <c r="Q302" s="31"/>
      <c r="R302" s="31"/>
      <c r="S302" s="31"/>
      <c r="T302" s="31"/>
      <c r="U302" s="31"/>
      <c r="V302" s="31"/>
      <c r="W302" s="31"/>
      <c r="X302" s="31"/>
      <c r="Y302" s="31"/>
      <c r="Z302" s="31"/>
      <c r="AA302" s="31"/>
    </row>
    <row r="303" ht="15.75" customHeight="1">
      <c r="B303" s="84"/>
      <c r="D303" s="94"/>
      <c r="E303" s="11"/>
      <c r="F303" s="11"/>
      <c r="I303" s="31"/>
      <c r="J303" s="31"/>
      <c r="L303" s="31"/>
      <c r="M303" s="31"/>
      <c r="N303" s="31"/>
      <c r="O303" s="31"/>
      <c r="P303" s="31"/>
      <c r="Q303" s="31"/>
      <c r="R303" s="31"/>
      <c r="S303" s="31"/>
      <c r="T303" s="31"/>
      <c r="U303" s="31"/>
      <c r="V303" s="31"/>
      <c r="W303" s="31"/>
      <c r="X303" s="31"/>
      <c r="Y303" s="31"/>
      <c r="Z303" s="31"/>
      <c r="AA303" s="31"/>
    </row>
    <row r="304" ht="15.75" customHeight="1">
      <c r="B304" s="84"/>
      <c r="D304" s="93"/>
      <c r="E304" s="11"/>
      <c r="F304" s="11"/>
      <c r="I304" s="31"/>
      <c r="J304" s="31"/>
      <c r="L304" s="31"/>
      <c r="M304" s="31"/>
      <c r="N304" s="31"/>
      <c r="O304" s="31"/>
      <c r="P304" s="31"/>
      <c r="Q304" s="31"/>
      <c r="R304" s="31"/>
      <c r="S304" s="31"/>
      <c r="T304" s="31"/>
      <c r="U304" s="31"/>
      <c r="V304" s="31"/>
      <c r="W304" s="31"/>
      <c r="X304" s="31"/>
      <c r="Y304" s="31"/>
      <c r="Z304" s="31"/>
      <c r="AA304" s="31"/>
    </row>
    <row r="305" ht="15.75" customHeight="1">
      <c r="B305" s="84"/>
      <c r="D305" s="93"/>
      <c r="E305" s="11"/>
      <c r="F305" s="11"/>
      <c r="I305" s="31"/>
      <c r="J305" s="31"/>
      <c r="L305" s="31"/>
      <c r="M305" s="31"/>
      <c r="N305" s="31"/>
      <c r="O305" s="31"/>
      <c r="P305" s="31"/>
      <c r="Q305" s="31"/>
      <c r="R305" s="31"/>
      <c r="S305" s="31"/>
      <c r="T305" s="31"/>
      <c r="U305" s="31"/>
      <c r="V305" s="31"/>
      <c r="W305" s="31"/>
      <c r="X305" s="31"/>
      <c r="Y305" s="31"/>
      <c r="Z305" s="31"/>
      <c r="AA305" s="31"/>
    </row>
    <row r="306" ht="15.75" customHeight="1">
      <c r="B306" s="84"/>
      <c r="D306" s="93"/>
      <c r="E306" s="11"/>
      <c r="F306" s="11"/>
      <c r="I306" s="31"/>
      <c r="J306" s="31"/>
      <c r="L306" s="31"/>
      <c r="M306" s="31"/>
      <c r="N306" s="31"/>
      <c r="O306" s="31"/>
      <c r="P306" s="31"/>
      <c r="Q306" s="31"/>
      <c r="R306" s="31"/>
      <c r="S306" s="31"/>
      <c r="T306" s="31"/>
      <c r="U306" s="31"/>
      <c r="V306" s="31"/>
      <c r="W306" s="31"/>
      <c r="X306" s="31"/>
      <c r="Y306" s="31"/>
      <c r="Z306" s="31"/>
      <c r="AA306" s="31"/>
    </row>
    <row r="307" ht="15.75" customHeight="1">
      <c r="B307" s="84"/>
      <c r="D307" s="93"/>
      <c r="E307" s="11"/>
      <c r="F307" s="11"/>
      <c r="I307" s="31"/>
      <c r="J307" s="31"/>
      <c r="L307" s="31"/>
      <c r="M307" s="31"/>
      <c r="N307" s="31"/>
      <c r="O307" s="31"/>
      <c r="P307" s="31"/>
      <c r="Q307" s="31"/>
      <c r="R307" s="31"/>
      <c r="S307" s="31"/>
      <c r="T307" s="31"/>
      <c r="U307" s="31"/>
      <c r="V307" s="31"/>
      <c r="W307" s="31"/>
      <c r="X307" s="31"/>
      <c r="Y307" s="31"/>
      <c r="Z307" s="31"/>
      <c r="AA307" s="31"/>
    </row>
    <row r="308" ht="15.75" customHeight="1">
      <c r="B308" s="84"/>
      <c r="D308" s="93"/>
      <c r="E308" s="11"/>
      <c r="F308" s="11"/>
      <c r="I308" s="31"/>
      <c r="J308" s="31"/>
      <c r="L308" s="31"/>
      <c r="M308" s="31"/>
      <c r="N308" s="31"/>
      <c r="O308" s="31"/>
      <c r="P308" s="31"/>
      <c r="Q308" s="31"/>
      <c r="R308" s="31"/>
      <c r="S308" s="31"/>
      <c r="T308" s="31"/>
      <c r="U308" s="31"/>
      <c r="V308" s="31"/>
      <c r="W308" s="31"/>
      <c r="X308" s="31"/>
      <c r="Y308" s="31"/>
      <c r="Z308" s="31"/>
      <c r="AA308" s="31"/>
    </row>
    <row r="309" ht="15.75" customHeight="1">
      <c r="B309" s="84"/>
      <c r="D309" s="93"/>
      <c r="E309" s="11"/>
      <c r="F309" s="11"/>
      <c r="I309" s="31"/>
      <c r="J309" s="31"/>
      <c r="L309" s="31"/>
      <c r="M309" s="31"/>
      <c r="N309" s="31"/>
      <c r="O309" s="31"/>
      <c r="P309" s="31"/>
      <c r="Q309" s="31"/>
      <c r="R309" s="31"/>
      <c r="S309" s="31"/>
      <c r="T309" s="31"/>
      <c r="U309" s="31"/>
      <c r="V309" s="31"/>
      <c r="W309" s="31"/>
      <c r="X309" s="31"/>
      <c r="Y309" s="31"/>
      <c r="Z309" s="31"/>
      <c r="AA309" s="31"/>
    </row>
    <row r="310" ht="15.75" customHeight="1">
      <c r="B310" s="84"/>
      <c r="D310" s="94"/>
      <c r="E310" s="11"/>
      <c r="F310" s="11"/>
      <c r="I310" s="31"/>
      <c r="J310" s="31"/>
      <c r="L310" s="31"/>
      <c r="M310" s="31"/>
      <c r="N310" s="31"/>
      <c r="O310" s="31"/>
      <c r="P310" s="31"/>
      <c r="Q310" s="31"/>
      <c r="R310" s="31"/>
      <c r="S310" s="31"/>
      <c r="T310" s="31"/>
      <c r="U310" s="31"/>
      <c r="V310" s="31"/>
      <c r="W310" s="31"/>
      <c r="X310" s="31"/>
      <c r="Y310" s="31"/>
      <c r="Z310" s="31"/>
      <c r="AA310" s="31"/>
    </row>
    <row r="311" ht="15.75" customHeight="1">
      <c r="B311" s="84"/>
      <c r="D311" s="94"/>
      <c r="E311" s="11"/>
      <c r="F311" s="11"/>
      <c r="I311" s="31"/>
      <c r="J311" s="31"/>
      <c r="L311" s="31"/>
      <c r="M311" s="31"/>
      <c r="N311" s="31"/>
      <c r="O311" s="31"/>
      <c r="P311" s="31"/>
      <c r="Q311" s="31"/>
      <c r="R311" s="31"/>
      <c r="S311" s="31"/>
      <c r="T311" s="31"/>
      <c r="U311" s="31"/>
      <c r="V311" s="31"/>
      <c r="W311" s="31"/>
      <c r="X311" s="31"/>
      <c r="Y311" s="31"/>
      <c r="Z311" s="31"/>
      <c r="AA311" s="31"/>
    </row>
    <row r="312" ht="15.75" customHeight="1">
      <c r="B312" s="84"/>
      <c r="D312" s="94"/>
      <c r="E312" s="11"/>
      <c r="F312" s="11"/>
      <c r="I312" s="31"/>
      <c r="J312" s="31"/>
      <c r="L312" s="31"/>
      <c r="M312" s="31"/>
      <c r="N312" s="31"/>
      <c r="O312" s="31"/>
      <c r="P312" s="31"/>
      <c r="Q312" s="31"/>
      <c r="R312" s="31"/>
      <c r="S312" s="31"/>
      <c r="T312" s="31"/>
      <c r="U312" s="31"/>
      <c r="V312" s="31"/>
      <c r="W312" s="31"/>
      <c r="X312" s="31"/>
      <c r="Y312" s="31"/>
      <c r="Z312" s="31"/>
      <c r="AA312" s="31"/>
    </row>
    <row r="313" ht="15.75" customHeight="1">
      <c r="B313" s="84"/>
      <c r="D313" s="94"/>
      <c r="E313" s="11"/>
      <c r="F313" s="11"/>
      <c r="I313" s="31"/>
      <c r="J313" s="31"/>
      <c r="L313" s="31"/>
      <c r="M313" s="31"/>
      <c r="N313" s="31"/>
      <c r="O313" s="31"/>
      <c r="P313" s="31"/>
      <c r="Q313" s="31"/>
      <c r="R313" s="31"/>
      <c r="S313" s="31"/>
      <c r="T313" s="31"/>
      <c r="U313" s="31"/>
      <c r="V313" s="31"/>
      <c r="W313" s="31"/>
      <c r="X313" s="31"/>
      <c r="Y313" s="31"/>
      <c r="Z313" s="31"/>
      <c r="AA313" s="31"/>
    </row>
    <row r="314" ht="15.75" customHeight="1">
      <c r="B314" s="84"/>
      <c r="D314" s="94"/>
      <c r="E314" s="11"/>
      <c r="F314" s="11"/>
      <c r="I314" s="31"/>
      <c r="J314" s="31"/>
      <c r="L314" s="31"/>
      <c r="M314" s="31"/>
      <c r="N314" s="31"/>
      <c r="O314" s="31"/>
      <c r="P314" s="31"/>
      <c r="Q314" s="31"/>
      <c r="R314" s="31"/>
      <c r="S314" s="31"/>
      <c r="T314" s="31"/>
      <c r="U314" s="31"/>
      <c r="V314" s="31"/>
      <c r="W314" s="31"/>
      <c r="X314" s="31"/>
      <c r="Y314" s="31"/>
      <c r="Z314" s="31"/>
      <c r="AA314" s="31"/>
    </row>
    <row r="315" ht="15.75" customHeight="1">
      <c r="B315" s="84"/>
      <c r="D315" s="94"/>
      <c r="E315" s="11"/>
      <c r="F315" s="11"/>
      <c r="I315" s="31"/>
      <c r="J315" s="31"/>
      <c r="L315" s="31"/>
      <c r="M315" s="31"/>
      <c r="N315" s="31"/>
      <c r="O315" s="31"/>
      <c r="P315" s="31"/>
      <c r="Q315" s="31"/>
      <c r="R315" s="31"/>
      <c r="S315" s="31"/>
      <c r="T315" s="31"/>
      <c r="U315" s="31"/>
      <c r="V315" s="31"/>
      <c r="W315" s="31"/>
      <c r="X315" s="31"/>
      <c r="Y315" s="31"/>
      <c r="Z315" s="31"/>
      <c r="AA315" s="31"/>
    </row>
    <row r="316" ht="15.75" customHeight="1">
      <c r="B316" s="84"/>
      <c r="D316" s="94"/>
      <c r="E316" s="11"/>
      <c r="F316" s="11"/>
      <c r="I316" s="31"/>
      <c r="J316" s="31"/>
      <c r="L316" s="31"/>
      <c r="M316" s="31"/>
      <c r="N316" s="31"/>
      <c r="O316" s="31"/>
      <c r="P316" s="31"/>
      <c r="Q316" s="31"/>
      <c r="R316" s="31"/>
      <c r="S316" s="31"/>
      <c r="T316" s="31"/>
      <c r="U316" s="31"/>
      <c r="V316" s="31"/>
      <c r="W316" s="31"/>
      <c r="X316" s="31"/>
      <c r="Y316" s="31"/>
      <c r="Z316" s="31"/>
      <c r="AA316" s="31"/>
    </row>
    <row r="317" ht="15.75" customHeight="1">
      <c r="B317" s="84"/>
      <c r="D317" s="93"/>
      <c r="E317" s="11"/>
      <c r="F317" s="11"/>
      <c r="I317" s="31"/>
      <c r="J317" s="31"/>
      <c r="L317" s="31"/>
      <c r="M317" s="31"/>
      <c r="N317" s="31"/>
      <c r="O317" s="31"/>
      <c r="P317" s="31"/>
      <c r="Q317" s="31"/>
      <c r="R317" s="31"/>
      <c r="S317" s="31"/>
      <c r="T317" s="31"/>
      <c r="U317" s="31"/>
      <c r="V317" s="31"/>
      <c r="W317" s="31"/>
      <c r="X317" s="31"/>
      <c r="Y317" s="31"/>
      <c r="Z317" s="31"/>
      <c r="AA317" s="31"/>
    </row>
    <row r="318" ht="15.75" customHeight="1">
      <c r="A318" s="95"/>
      <c r="B318" s="84"/>
      <c r="D318" s="93"/>
      <c r="E318" s="11"/>
      <c r="F318" s="11"/>
      <c r="I318" s="31"/>
      <c r="J318" s="31"/>
      <c r="L318" s="31"/>
      <c r="M318" s="31"/>
      <c r="N318" s="31"/>
      <c r="O318" s="31"/>
      <c r="P318" s="31"/>
      <c r="Q318" s="31"/>
      <c r="R318" s="31"/>
      <c r="S318" s="31"/>
      <c r="T318" s="31"/>
      <c r="U318" s="31"/>
      <c r="V318" s="31"/>
      <c r="W318" s="31"/>
      <c r="X318" s="31"/>
      <c r="Y318" s="31"/>
      <c r="Z318" s="31"/>
      <c r="AA318" s="31"/>
    </row>
    <row r="319" ht="15.75" customHeight="1">
      <c r="A319" s="95"/>
      <c r="B319" s="84"/>
      <c r="D319" s="93"/>
      <c r="E319" s="11"/>
      <c r="F319" s="11"/>
      <c r="I319" s="31"/>
      <c r="J319" s="31"/>
      <c r="L319" s="31"/>
      <c r="M319" s="31"/>
      <c r="N319" s="31"/>
      <c r="O319" s="31"/>
      <c r="P319" s="31"/>
      <c r="Q319" s="31"/>
      <c r="R319" s="31"/>
      <c r="S319" s="31"/>
      <c r="T319" s="31"/>
      <c r="U319" s="31"/>
      <c r="V319" s="31"/>
      <c r="W319" s="31"/>
      <c r="X319" s="31"/>
      <c r="Y319" s="31"/>
      <c r="Z319" s="31"/>
      <c r="AA319" s="31"/>
    </row>
    <row r="320" ht="15.75" customHeight="1">
      <c r="A320" s="95"/>
      <c r="B320" s="84"/>
      <c r="D320" s="93"/>
      <c r="E320" s="11"/>
      <c r="F320" s="11"/>
      <c r="I320" s="31"/>
      <c r="J320" s="31"/>
      <c r="L320" s="31"/>
      <c r="M320" s="31"/>
      <c r="N320" s="31"/>
      <c r="O320" s="31"/>
      <c r="P320" s="31"/>
      <c r="Q320" s="31"/>
      <c r="R320" s="31"/>
      <c r="S320" s="31"/>
      <c r="T320" s="31"/>
      <c r="U320" s="31"/>
      <c r="V320" s="31"/>
      <c r="W320" s="31"/>
      <c r="X320" s="31"/>
      <c r="Y320" s="31"/>
      <c r="Z320" s="31"/>
      <c r="AA320" s="31"/>
    </row>
    <row r="321" ht="15.75" customHeight="1">
      <c r="A321" s="95"/>
      <c r="B321" s="84"/>
      <c r="D321" s="93"/>
      <c r="E321" s="11"/>
      <c r="F321" s="11"/>
      <c r="I321" s="31"/>
      <c r="J321" s="31"/>
      <c r="L321" s="31"/>
      <c r="M321" s="31"/>
      <c r="N321" s="31"/>
      <c r="O321" s="31"/>
      <c r="P321" s="31"/>
      <c r="Q321" s="31"/>
      <c r="R321" s="31"/>
      <c r="S321" s="31"/>
      <c r="T321" s="31"/>
      <c r="U321" s="31"/>
      <c r="V321" s="31"/>
      <c r="W321" s="31"/>
      <c r="X321" s="31"/>
      <c r="Y321" s="31"/>
      <c r="Z321" s="31"/>
      <c r="AA321" s="31"/>
    </row>
    <row r="322" ht="15.75" customHeight="1">
      <c r="B322" s="84"/>
      <c r="D322" s="93"/>
      <c r="E322" s="11"/>
      <c r="F322" s="11"/>
      <c r="I322" s="31"/>
      <c r="J322" s="31"/>
      <c r="L322" s="31"/>
      <c r="M322" s="31"/>
      <c r="N322" s="31"/>
      <c r="O322" s="31"/>
      <c r="P322" s="31"/>
      <c r="Q322" s="31"/>
      <c r="R322" s="31"/>
      <c r="S322" s="31"/>
      <c r="T322" s="31"/>
      <c r="U322" s="31"/>
      <c r="V322" s="31"/>
      <c r="W322" s="31"/>
      <c r="X322" s="31"/>
      <c r="Y322" s="31"/>
      <c r="Z322" s="31"/>
      <c r="AA322" s="31"/>
    </row>
    <row r="323" ht="15.75" customHeight="1">
      <c r="A323" s="95"/>
      <c r="B323" s="84"/>
      <c r="D323" s="93"/>
      <c r="E323" s="11"/>
      <c r="F323" s="11"/>
      <c r="I323" s="31"/>
      <c r="J323" s="31"/>
      <c r="L323" s="31"/>
      <c r="M323" s="31"/>
      <c r="N323" s="31"/>
      <c r="O323" s="31"/>
      <c r="P323" s="31"/>
      <c r="Q323" s="31"/>
      <c r="R323" s="31"/>
      <c r="S323" s="31"/>
      <c r="T323" s="31"/>
      <c r="U323" s="31"/>
      <c r="V323" s="31"/>
      <c r="W323" s="31"/>
      <c r="X323" s="31"/>
      <c r="Y323" s="31"/>
      <c r="Z323" s="31"/>
      <c r="AA323" s="31"/>
    </row>
    <row r="324" ht="15.75" customHeight="1">
      <c r="A324" s="95"/>
      <c r="B324" s="84"/>
      <c r="D324" s="93"/>
      <c r="E324" s="11"/>
      <c r="F324" s="11"/>
      <c r="I324" s="31"/>
      <c r="J324" s="31"/>
      <c r="L324" s="31"/>
      <c r="M324" s="31"/>
      <c r="N324" s="31"/>
      <c r="O324" s="31"/>
      <c r="P324" s="31"/>
      <c r="Q324" s="31"/>
      <c r="R324" s="31"/>
      <c r="S324" s="31"/>
      <c r="T324" s="31"/>
      <c r="U324" s="31"/>
      <c r="V324" s="31"/>
      <c r="W324" s="31"/>
      <c r="X324" s="31"/>
      <c r="Y324" s="31"/>
      <c r="Z324" s="31"/>
      <c r="AA324" s="31"/>
    </row>
    <row r="325" ht="15.75" customHeight="1">
      <c r="A325" s="95"/>
      <c r="B325" s="84"/>
      <c r="D325" s="93"/>
      <c r="E325" s="11"/>
      <c r="F325" s="11"/>
      <c r="I325" s="31"/>
      <c r="J325" s="31"/>
      <c r="L325" s="31"/>
      <c r="M325" s="31"/>
      <c r="N325" s="31"/>
      <c r="O325" s="31"/>
      <c r="P325" s="31"/>
      <c r="Q325" s="31"/>
      <c r="R325" s="31"/>
      <c r="S325" s="31"/>
      <c r="T325" s="31"/>
      <c r="U325" s="31"/>
      <c r="V325" s="31"/>
      <c r="W325" s="31"/>
      <c r="X325" s="31"/>
      <c r="Y325" s="31"/>
      <c r="Z325" s="31"/>
      <c r="AA325" s="31"/>
    </row>
    <row r="326" ht="15.75" customHeight="1">
      <c r="A326" s="95"/>
      <c r="B326" s="84"/>
      <c r="D326" s="93"/>
      <c r="E326" s="11"/>
      <c r="F326" s="11"/>
      <c r="I326" s="31"/>
      <c r="J326" s="31"/>
      <c r="L326" s="31"/>
      <c r="M326" s="31"/>
      <c r="N326" s="31"/>
      <c r="O326" s="31"/>
      <c r="P326" s="31"/>
      <c r="Q326" s="31"/>
      <c r="R326" s="31"/>
      <c r="S326" s="31"/>
      <c r="T326" s="31"/>
      <c r="U326" s="31"/>
      <c r="V326" s="31"/>
      <c r="W326" s="31"/>
      <c r="X326" s="31"/>
      <c r="Y326" s="31"/>
      <c r="Z326" s="31"/>
      <c r="AA326" s="31"/>
    </row>
    <row r="327" ht="15.75" customHeight="1">
      <c r="B327" s="84"/>
      <c r="D327" s="94"/>
      <c r="E327" s="11"/>
      <c r="F327" s="11"/>
      <c r="I327" s="31"/>
      <c r="J327" s="31"/>
      <c r="L327" s="31"/>
      <c r="M327" s="31"/>
      <c r="N327" s="31"/>
      <c r="O327" s="31"/>
      <c r="P327" s="31"/>
      <c r="Q327" s="31"/>
      <c r="R327" s="31"/>
      <c r="S327" s="31"/>
      <c r="T327" s="31"/>
      <c r="U327" s="31"/>
      <c r="V327" s="31"/>
      <c r="W327" s="31"/>
      <c r="X327" s="31"/>
      <c r="Y327" s="31"/>
      <c r="Z327" s="31"/>
      <c r="AA327" s="31"/>
    </row>
    <row r="328" ht="15.75" customHeight="1">
      <c r="B328" s="84"/>
      <c r="D328" s="94"/>
      <c r="E328" s="11"/>
      <c r="F328" s="11"/>
      <c r="I328" s="31"/>
      <c r="J328" s="31"/>
      <c r="L328" s="31"/>
      <c r="M328" s="31"/>
      <c r="N328" s="31"/>
      <c r="O328" s="31"/>
      <c r="P328" s="31"/>
      <c r="Q328" s="31"/>
      <c r="R328" s="31"/>
      <c r="S328" s="31"/>
      <c r="T328" s="31"/>
      <c r="U328" s="31"/>
      <c r="V328" s="31"/>
      <c r="W328" s="31"/>
      <c r="X328" s="31"/>
      <c r="Y328" s="31"/>
      <c r="Z328" s="31"/>
      <c r="AA328" s="31"/>
    </row>
    <row r="329" ht="15.75" customHeight="1">
      <c r="B329" s="84"/>
      <c r="D329" s="94"/>
      <c r="E329" s="11"/>
      <c r="F329" s="11"/>
      <c r="I329" s="31"/>
      <c r="J329" s="31"/>
      <c r="L329" s="31"/>
      <c r="M329" s="31"/>
      <c r="N329" s="31"/>
      <c r="O329" s="31"/>
      <c r="P329" s="31"/>
      <c r="Q329" s="31"/>
      <c r="R329" s="31"/>
      <c r="S329" s="31"/>
      <c r="T329" s="31"/>
      <c r="U329" s="31"/>
      <c r="V329" s="31"/>
      <c r="W329" s="31"/>
      <c r="X329" s="31"/>
      <c r="Y329" s="31"/>
      <c r="Z329" s="31"/>
      <c r="AA329" s="31"/>
    </row>
    <row r="330" ht="15.75" customHeight="1">
      <c r="B330" s="84"/>
      <c r="D330" s="94"/>
      <c r="E330" s="11"/>
      <c r="F330" s="11"/>
      <c r="I330" s="31"/>
      <c r="J330" s="31"/>
      <c r="L330" s="31"/>
      <c r="M330" s="31"/>
      <c r="N330" s="31"/>
      <c r="O330" s="31"/>
      <c r="P330" s="31"/>
      <c r="Q330" s="31"/>
      <c r="R330" s="31"/>
      <c r="S330" s="31"/>
      <c r="T330" s="31"/>
      <c r="U330" s="31"/>
      <c r="V330" s="31"/>
      <c r="W330" s="31"/>
      <c r="X330" s="31"/>
      <c r="Y330" s="31"/>
      <c r="Z330" s="31"/>
      <c r="AA330" s="31"/>
    </row>
    <row r="331" ht="15.75" customHeight="1">
      <c r="B331" s="84"/>
      <c r="D331" s="94"/>
      <c r="E331" s="11"/>
      <c r="F331" s="11"/>
      <c r="I331" s="31"/>
      <c r="J331" s="31"/>
      <c r="L331" s="31"/>
      <c r="M331" s="31"/>
      <c r="N331" s="31"/>
      <c r="O331" s="31"/>
      <c r="P331" s="31"/>
      <c r="Q331" s="31"/>
      <c r="R331" s="31"/>
      <c r="S331" s="31"/>
      <c r="T331" s="31"/>
      <c r="U331" s="31"/>
      <c r="V331" s="31"/>
      <c r="W331" s="31"/>
      <c r="X331" s="31"/>
      <c r="Y331" s="31"/>
      <c r="Z331" s="31"/>
      <c r="AA331" s="31"/>
    </row>
    <row r="332" ht="15.75" customHeight="1">
      <c r="B332" s="84"/>
      <c r="D332" s="94"/>
      <c r="E332" s="11"/>
      <c r="F332" s="11"/>
      <c r="I332" s="31"/>
      <c r="J332" s="31"/>
      <c r="L332" s="31"/>
      <c r="M332" s="31"/>
      <c r="N332" s="31"/>
      <c r="O332" s="31"/>
      <c r="P332" s="31"/>
      <c r="Q332" s="31"/>
      <c r="R332" s="31"/>
      <c r="S332" s="31"/>
      <c r="T332" s="31"/>
      <c r="U332" s="31"/>
      <c r="V332" s="31"/>
      <c r="W332" s="31"/>
      <c r="X332" s="31"/>
      <c r="Y332" s="31"/>
      <c r="Z332" s="31"/>
      <c r="AA332" s="31"/>
    </row>
    <row r="333" ht="15.75" customHeight="1">
      <c r="A333" s="95"/>
      <c r="B333" s="84"/>
      <c r="D333" s="93"/>
      <c r="E333" s="11"/>
      <c r="F333" s="11"/>
      <c r="I333" s="31"/>
      <c r="J333" s="31"/>
      <c r="L333" s="31"/>
      <c r="M333" s="31"/>
      <c r="N333" s="31"/>
      <c r="O333" s="31"/>
      <c r="P333" s="31"/>
      <c r="Q333" s="31"/>
      <c r="R333" s="31"/>
      <c r="S333" s="31"/>
      <c r="T333" s="31"/>
      <c r="U333" s="31"/>
      <c r="V333" s="31"/>
      <c r="W333" s="31"/>
      <c r="X333" s="31"/>
      <c r="Y333" s="31"/>
      <c r="Z333" s="31"/>
      <c r="AA333" s="31"/>
    </row>
    <row r="334" ht="15.75" customHeight="1">
      <c r="A334" s="95"/>
      <c r="B334" s="84"/>
      <c r="D334" s="93"/>
      <c r="E334" s="11"/>
      <c r="F334" s="11"/>
      <c r="I334" s="31"/>
      <c r="J334" s="31"/>
      <c r="L334" s="31"/>
      <c r="M334" s="31"/>
      <c r="N334" s="31"/>
      <c r="O334" s="31"/>
      <c r="P334" s="31"/>
      <c r="Q334" s="31"/>
      <c r="R334" s="31"/>
      <c r="S334" s="31"/>
      <c r="T334" s="31"/>
      <c r="U334" s="31"/>
      <c r="V334" s="31"/>
      <c r="W334" s="31"/>
      <c r="X334" s="31"/>
      <c r="Y334" s="31"/>
      <c r="Z334" s="31"/>
      <c r="AA334" s="31"/>
    </row>
    <row r="335" ht="15.75" customHeight="1">
      <c r="A335" s="95"/>
      <c r="B335" s="84"/>
      <c r="D335" s="93"/>
      <c r="E335" s="11"/>
      <c r="F335" s="11"/>
      <c r="I335" s="31"/>
      <c r="J335" s="31"/>
      <c r="L335" s="31"/>
      <c r="M335" s="31"/>
      <c r="N335" s="31"/>
      <c r="O335" s="31"/>
      <c r="P335" s="31"/>
      <c r="Q335" s="31"/>
      <c r="R335" s="31"/>
      <c r="S335" s="31"/>
      <c r="T335" s="31"/>
      <c r="U335" s="31"/>
      <c r="V335" s="31"/>
      <c r="W335" s="31"/>
      <c r="X335" s="31"/>
      <c r="Y335" s="31"/>
      <c r="Z335" s="31"/>
      <c r="AA335" s="31"/>
    </row>
    <row r="336" ht="15.75" customHeight="1">
      <c r="A336" s="95"/>
      <c r="B336" s="84"/>
      <c r="D336" s="93"/>
      <c r="E336" s="11"/>
      <c r="F336" s="11"/>
      <c r="I336" s="31"/>
      <c r="J336" s="31"/>
      <c r="L336" s="31"/>
      <c r="M336" s="31"/>
      <c r="N336" s="31"/>
      <c r="O336" s="31"/>
      <c r="P336" s="31"/>
      <c r="Q336" s="31"/>
      <c r="R336" s="31"/>
      <c r="S336" s="31"/>
      <c r="T336" s="31"/>
      <c r="U336" s="31"/>
      <c r="V336" s="31"/>
      <c r="W336" s="31"/>
      <c r="X336" s="31"/>
      <c r="Y336" s="31"/>
      <c r="Z336" s="31"/>
      <c r="AA336" s="31"/>
    </row>
    <row r="337" ht="15.75" customHeight="1">
      <c r="A337" s="95"/>
      <c r="B337" s="84"/>
      <c r="D337" s="93"/>
      <c r="E337" s="11"/>
      <c r="F337" s="11"/>
      <c r="I337" s="31"/>
      <c r="J337" s="31"/>
      <c r="L337" s="31"/>
      <c r="M337" s="31"/>
      <c r="N337" s="31"/>
      <c r="O337" s="31"/>
      <c r="P337" s="31"/>
      <c r="Q337" s="31"/>
      <c r="R337" s="31"/>
      <c r="S337" s="31"/>
      <c r="T337" s="31"/>
      <c r="U337" s="31"/>
      <c r="V337" s="31"/>
      <c r="W337" s="31"/>
      <c r="X337" s="31"/>
      <c r="Y337" s="31"/>
      <c r="Z337" s="31"/>
      <c r="AA337" s="31"/>
    </row>
    <row r="338" ht="15.75" customHeight="1">
      <c r="A338" s="95"/>
      <c r="B338" s="84"/>
      <c r="D338" s="93"/>
      <c r="E338" s="11"/>
      <c r="F338" s="11"/>
      <c r="I338" s="31"/>
      <c r="J338" s="31"/>
      <c r="L338" s="31"/>
      <c r="M338" s="31"/>
      <c r="N338" s="31"/>
      <c r="O338" s="31"/>
      <c r="P338" s="31"/>
      <c r="Q338" s="31"/>
      <c r="R338" s="31"/>
      <c r="S338" s="31"/>
      <c r="T338" s="31"/>
      <c r="U338" s="31"/>
      <c r="V338" s="31"/>
      <c r="W338" s="31"/>
      <c r="X338" s="31"/>
      <c r="Y338" s="31"/>
      <c r="Z338" s="31"/>
      <c r="AA338" s="31"/>
    </row>
    <row r="339" ht="15.75" customHeight="1">
      <c r="A339" s="95"/>
      <c r="B339" s="84"/>
      <c r="D339" s="93"/>
      <c r="E339" s="11"/>
      <c r="F339" s="11"/>
      <c r="I339" s="31"/>
      <c r="J339" s="31"/>
      <c r="L339" s="31"/>
      <c r="M339" s="31"/>
      <c r="N339" s="31"/>
      <c r="O339" s="31"/>
      <c r="P339" s="31"/>
      <c r="Q339" s="31"/>
      <c r="R339" s="31"/>
      <c r="S339" s="31"/>
      <c r="T339" s="31"/>
      <c r="U339" s="31"/>
      <c r="V339" s="31"/>
      <c r="W339" s="31"/>
      <c r="X339" s="31"/>
      <c r="Y339" s="31"/>
      <c r="Z339" s="31"/>
      <c r="AA339" s="31"/>
    </row>
    <row r="340" ht="15.75" customHeight="1">
      <c r="A340" s="95"/>
      <c r="B340" s="84"/>
      <c r="D340" s="93"/>
      <c r="E340" s="11"/>
      <c r="F340" s="11"/>
      <c r="I340" s="31"/>
      <c r="J340" s="31"/>
      <c r="L340" s="31"/>
      <c r="M340" s="31"/>
      <c r="N340" s="31"/>
      <c r="O340" s="31"/>
      <c r="P340" s="31"/>
      <c r="Q340" s="31"/>
      <c r="R340" s="31"/>
      <c r="S340" s="31"/>
      <c r="T340" s="31"/>
      <c r="U340" s="31"/>
      <c r="V340" s="31"/>
      <c r="W340" s="31"/>
      <c r="X340" s="31"/>
      <c r="Y340" s="31"/>
      <c r="Z340" s="31"/>
      <c r="AA340" s="31"/>
    </row>
    <row r="341" ht="15.75" customHeight="1">
      <c r="A341" s="95"/>
      <c r="B341" s="84"/>
      <c r="D341" s="93"/>
      <c r="E341" s="11"/>
      <c r="F341" s="11"/>
      <c r="I341" s="31"/>
      <c r="J341" s="31"/>
      <c r="L341" s="31"/>
      <c r="M341" s="31"/>
      <c r="N341" s="31"/>
      <c r="O341" s="31"/>
      <c r="P341" s="31"/>
      <c r="Q341" s="31"/>
      <c r="R341" s="31"/>
      <c r="S341" s="31"/>
      <c r="T341" s="31"/>
      <c r="U341" s="31"/>
      <c r="V341" s="31"/>
      <c r="W341" s="31"/>
      <c r="X341" s="31"/>
      <c r="Y341" s="31"/>
      <c r="Z341" s="31"/>
      <c r="AA341" s="31"/>
    </row>
    <row r="342" ht="15.75" customHeight="1">
      <c r="A342" s="95"/>
      <c r="B342" s="84"/>
      <c r="D342" s="93"/>
      <c r="E342" s="11"/>
      <c r="F342" s="11"/>
      <c r="I342" s="31"/>
      <c r="J342" s="31"/>
      <c r="L342" s="31"/>
      <c r="M342" s="31"/>
      <c r="N342" s="31"/>
      <c r="O342" s="31"/>
      <c r="P342" s="31"/>
      <c r="Q342" s="31"/>
      <c r="R342" s="31"/>
      <c r="S342" s="31"/>
      <c r="T342" s="31"/>
      <c r="U342" s="31"/>
      <c r="V342" s="31"/>
      <c r="W342" s="31"/>
      <c r="X342" s="31"/>
      <c r="Y342" s="31"/>
      <c r="Z342" s="31"/>
      <c r="AA342" s="31"/>
    </row>
    <row r="343" ht="15.75" customHeight="1">
      <c r="A343" s="95"/>
      <c r="B343" s="84"/>
      <c r="D343" s="93"/>
      <c r="E343" s="11"/>
      <c r="F343" s="11"/>
      <c r="I343" s="31"/>
      <c r="J343" s="31"/>
      <c r="L343" s="31"/>
      <c r="M343" s="31"/>
      <c r="N343" s="31"/>
      <c r="O343" s="31"/>
      <c r="P343" s="31"/>
      <c r="Q343" s="31"/>
      <c r="R343" s="31"/>
      <c r="S343" s="31"/>
      <c r="T343" s="31"/>
      <c r="U343" s="31"/>
      <c r="V343" s="31"/>
      <c r="W343" s="31"/>
      <c r="X343" s="31"/>
      <c r="Y343" s="31"/>
      <c r="Z343" s="31"/>
      <c r="AA343" s="31"/>
    </row>
    <row r="344" ht="15.75" customHeight="1">
      <c r="B344" s="84"/>
      <c r="D344" s="93"/>
      <c r="E344" s="11"/>
      <c r="F344" s="11"/>
      <c r="I344" s="31"/>
      <c r="J344" s="31"/>
      <c r="L344" s="31"/>
      <c r="M344" s="31"/>
      <c r="N344" s="31"/>
      <c r="O344" s="31"/>
      <c r="P344" s="31"/>
      <c r="Q344" s="31"/>
      <c r="R344" s="31"/>
      <c r="S344" s="31"/>
      <c r="T344" s="31"/>
      <c r="U344" s="31"/>
      <c r="V344" s="31"/>
      <c r="W344" s="31"/>
      <c r="X344" s="31"/>
      <c r="Y344" s="31"/>
      <c r="Z344" s="31"/>
      <c r="AA344" s="31"/>
    </row>
    <row r="345" ht="15.75" customHeight="1">
      <c r="A345" s="95"/>
      <c r="B345" s="84"/>
      <c r="D345" s="93"/>
      <c r="E345" s="11"/>
      <c r="F345" s="11"/>
      <c r="I345" s="31"/>
      <c r="J345" s="31"/>
      <c r="L345" s="31"/>
      <c r="M345" s="31"/>
      <c r="N345" s="31"/>
      <c r="O345" s="31"/>
      <c r="P345" s="31"/>
      <c r="Q345" s="31"/>
      <c r="R345" s="31"/>
      <c r="S345" s="31"/>
      <c r="T345" s="31"/>
      <c r="U345" s="31"/>
      <c r="V345" s="31"/>
      <c r="W345" s="31"/>
      <c r="X345" s="31"/>
      <c r="Y345" s="31"/>
      <c r="Z345" s="31"/>
      <c r="AA345" s="31"/>
    </row>
    <row r="346" ht="15.75" customHeight="1">
      <c r="A346" s="95"/>
      <c r="B346" s="84"/>
      <c r="D346" s="93"/>
      <c r="E346" s="11"/>
      <c r="F346" s="11"/>
      <c r="I346" s="31"/>
      <c r="J346" s="31"/>
      <c r="L346" s="31"/>
      <c r="M346" s="31"/>
      <c r="N346" s="31"/>
      <c r="O346" s="31"/>
      <c r="P346" s="31"/>
      <c r="Q346" s="31"/>
      <c r="R346" s="31"/>
      <c r="S346" s="31"/>
      <c r="T346" s="31"/>
      <c r="U346" s="31"/>
      <c r="V346" s="31"/>
      <c r="W346" s="31"/>
      <c r="X346" s="31"/>
      <c r="Y346" s="31"/>
      <c r="Z346" s="31"/>
      <c r="AA346" s="31"/>
    </row>
    <row r="347" ht="15.75" customHeight="1">
      <c r="A347" s="95"/>
      <c r="B347" s="84"/>
      <c r="D347" s="93"/>
      <c r="E347" s="11"/>
      <c r="F347" s="11"/>
      <c r="I347" s="31"/>
      <c r="J347" s="31"/>
      <c r="L347" s="31"/>
      <c r="M347" s="31"/>
      <c r="N347" s="31"/>
      <c r="O347" s="31"/>
      <c r="P347" s="31"/>
      <c r="Q347" s="31"/>
      <c r="R347" s="31"/>
      <c r="S347" s="31"/>
      <c r="T347" s="31"/>
      <c r="U347" s="31"/>
      <c r="V347" s="31"/>
      <c r="W347" s="31"/>
      <c r="X347" s="31"/>
      <c r="Y347" s="31"/>
      <c r="Z347" s="31"/>
      <c r="AA347" s="31"/>
    </row>
    <row r="348" ht="15.75" customHeight="1">
      <c r="A348" s="95"/>
      <c r="B348" s="84"/>
      <c r="D348" s="93"/>
      <c r="E348" s="11"/>
      <c r="F348" s="11"/>
      <c r="I348" s="31"/>
      <c r="J348" s="31"/>
      <c r="L348" s="31"/>
      <c r="M348" s="31"/>
      <c r="N348" s="31"/>
      <c r="O348" s="31"/>
      <c r="P348" s="31"/>
      <c r="Q348" s="31"/>
      <c r="R348" s="31"/>
      <c r="S348" s="31"/>
      <c r="T348" s="31"/>
      <c r="U348" s="31"/>
      <c r="V348" s="31"/>
      <c r="W348" s="31"/>
      <c r="X348" s="31"/>
      <c r="Y348" s="31"/>
      <c r="Z348" s="31"/>
      <c r="AA348" s="31"/>
    </row>
    <row r="349" ht="15.75" customHeight="1">
      <c r="A349" s="95"/>
      <c r="B349" s="84"/>
      <c r="D349" s="93"/>
      <c r="E349" s="11"/>
      <c r="F349" s="11"/>
      <c r="I349" s="31"/>
      <c r="J349" s="31"/>
      <c r="L349" s="31"/>
      <c r="M349" s="31"/>
      <c r="N349" s="31"/>
      <c r="O349" s="31"/>
      <c r="P349" s="31"/>
      <c r="Q349" s="31"/>
      <c r="R349" s="31"/>
      <c r="S349" s="31"/>
      <c r="T349" s="31"/>
      <c r="U349" s="31"/>
      <c r="V349" s="31"/>
      <c r="W349" s="31"/>
      <c r="X349" s="31"/>
      <c r="Y349" s="31"/>
      <c r="Z349" s="31"/>
      <c r="AA349" s="31"/>
    </row>
    <row r="350" ht="15.75" customHeight="1">
      <c r="B350" s="84"/>
      <c r="D350" s="93"/>
      <c r="E350" s="11"/>
      <c r="F350" s="11"/>
      <c r="I350" s="31"/>
      <c r="J350" s="31"/>
      <c r="L350" s="31"/>
      <c r="M350" s="31"/>
      <c r="N350" s="31"/>
      <c r="O350" s="31"/>
      <c r="P350" s="31"/>
      <c r="Q350" s="31"/>
      <c r="R350" s="31"/>
      <c r="S350" s="31"/>
      <c r="T350" s="31"/>
      <c r="U350" s="31"/>
      <c r="V350" s="31"/>
      <c r="W350" s="31"/>
      <c r="X350" s="31"/>
      <c r="Y350" s="31"/>
      <c r="Z350" s="31"/>
      <c r="AA350" s="31"/>
    </row>
    <row r="351" ht="15.75" customHeight="1">
      <c r="A351" s="95"/>
      <c r="B351" s="84"/>
      <c r="D351" s="93"/>
      <c r="E351" s="11"/>
      <c r="F351" s="11"/>
      <c r="I351" s="31"/>
      <c r="J351" s="31"/>
      <c r="L351" s="31"/>
      <c r="M351" s="31"/>
      <c r="N351" s="31"/>
      <c r="O351" s="31"/>
      <c r="P351" s="31"/>
      <c r="Q351" s="31"/>
      <c r="R351" s="31"/>
      <c r="S351" s="31"/>
      <c r="T351" s="31"/>
      <c r="U351" s="31"/>
      <c r="V351" s="31"/>
      <c r="W351" s="31"/>
      <c r="X351" s="31"/>
      <c r="Y351" s="31"/>
      <c r="Z351" s="31"/>
      <c r="AA351" s="31"/>
    </row>
    <row r="352" ht="15.75" customHeight="1">
      <c r="A352" s="95"/>
      <c r="B352" s="84"/>
      <c r="D352" s="93"/>
      <c r="E352" s="11"/>
      <c r="F352" s="11"/>
      <c r="I352" s="31"/>
      <c r="J352" s="31"/>
      <c r="L352" s="31"/>
      <c r="M352" s="31"/>
      <c r="N352" s="31"/>
      <c r="O352" s="31"/>
      <c r="P352" s="31"/>
      <c r="Q352" s="31"/>
      <c r="R352" s="31"/>
      <c r="S352" s="31"/>
      <c r="T352" s="31"/>
      <c r="U352" s="31"/>
      <c r="V352" s="31"/>
      <c r="W352" s="31"/>
      <c r="X352" s="31"/>
      <c r="Y352" s="31"/>
      <c r="Z352" s="31"/>
      <c r="AA352" s="31"/>
    </row>
    <row r="353" ht="15.75" customHeight="1">
      <c r="B353" s="84"/>
      <c r="D353" s="94"/>
      <c r="E353" s="11"/>
      <c r="F353" s="11"/>
      <c r="I353" s="31"/>
      <c r="J353" s="31"/>
      <c r="L353" s="31"/>
      <c r="M353" s="31"/>
      <c r="N353" s="31"/>
      <c r="O353" s="31"/>
      <c r="P353" s="31"/>
      <c r="Q353" s="31"/>
      <c r="R353" s="31"/>
      <c r="S353" s="31"/>
      <c r="T353" s="31"/>
      <c r="U353" s="31"/>
      <c r="V353" s="31"/>
      <c r="W353" s="31"/>
      <c r="X353" s="31"/>
      <c r="Y353" s="31"/>
      <c r="Z353" s="31"/>
      <c r="AA353" s="31"/>
    </row>
    <row r="354" ht="15.75" customHeight="1">
      <c r="B354" s="84"/>
      <c r="D354" s="94"/>
      <c r="E354" s="11"/>
      <c r="F354" s="11"/>
      <c r="I354" s="31"/>
      <c r="J354" s="31"/>
      <c r="L354" s="31"/>
      <c r="M354" s="31"/>
      <c r="N354" s="31"/>
      <c r="O354" s="31"/>
      <c r="P354" s="31"/>
      <c r="Q354" s="31"/>
      <c r="R354" s="31"/>
      <c r="S354" s="31"/>
      <c r="T354" s="31"/>
      <c r="U354" s="31"/>
      <c r="V354" s="31"/>
      <c r="W354" s="31"/>
      <c r="X354" s="31"/>
      <c r="Y354" s="31"/>
      <c r="Z354" s="31"/>
      <c r="AA354" s="31"/>
    </row>
    <row r="355" ht="15.75" customHeight="1">
      <c r="B355" s="84"/>
      <c r="D355" s="94"/>
      <c r="E355" s="11"/>
      <c r="F355" s="11"/>
      <c r="I355" s="31"/>
      <c r="J355" s="31"/>
      <c r="L355" s="31"/>
      <c r="M355" s="31"/>
      <c r="N355" s="31"/>
      <c r="O355" s="31"/>
      <c r="P355" s="31"/>
      <c r="Q355" s="31"/>
      <c r="R355" s="31"/>
      <c r="S355" s="31"/>
      <c r="T355" s="31"/>
      <c r="U355" s="31"/>
      <c r="V355" s="31"/>
      <c r="W355" s="31"/>
      <c r="X355" s="31"/>
      <c r="Y355" s="31"/>
      <c r="Z355" s="31"/>
      <c r="AA355" s="31"/>
    </row>
    <row r="356" ht="15.75" customHeight="1">
      <c r="B356" s="84"/>
      <c r="D356" s="94"/>
      <c r="E356" s="11"/>
      <c r="F356" s="11"/>
      <c r="I356" s="31"/>
      <c r="J356" s="31"/>
      <c r="L356" s="31"/>
      <c r="M356" s="31"/>
      <c r="N356" s="31"/>
      <c r="O356" s="31"/>
      <c r="P356" s="31"/>
      <c r="Q356" s="31"/>
      <c r="R356" s="31"/>
      <c r="S356" s="31"/>
      <c r="T356" s="31"/>
      <c r="U356" s="31"/>
      <c r="V356" s="31"/>
      <c r="W356" s="31"/>
      <c r="X356" s="31"/>
      <c r="Y356" s="31"/>
      <c r="Z356" s="31"/>
      <c r="AA356" s="31"/>
    </row>
    <row r="357" ht="15.75" customHeight="1">
      <c r="B357" s="84"/>
      <c r="D357" s="94"/>
      <c r="E357" s="11"/>
      <c r="F357" s="11"/>
      <c r="I357" s="31"/>
      <c r="J357" s="31"/>
      <c r="L357" s="31"/>
      <c r="M357" s="31"/>
      <c r="N357" s="31"/>
      <c r="O357" s="31"/>
      <c r="P357" s="31"/>
      <c r="Q357" s="31"/>
      <c r="R357" s="31"/>
      <c r="S357" s="31"/>
      <c r="T357" s="31"/>
      <c r="U357" s="31"/>
      <c r="V357" s="31"/>
      <c r="W357" s="31"/>
      <c r="X357" s="31"/>
      <c r="Y357" s="31"/>
      <c r="Z357" s="31"/>
      <c r="AA357" s="31"/>
    </row>
    <row r="358" ht="15.75" customHeight="1">
      <c r="B358" s="84"/>
      <c r="D358" s="94"/>
      <c r="E358" s="11"/>
      <c r="F358" s="11"/>
      <c r="I358" s="31"/>
      <c r="J358" s="31"/>
      <c r="L358" s="31"/>
      <c r="M358" s="31"/>
      <c r="N358" s="31"/>
      <c r="O358" s="31"/>
      <c r="P358" s="31"/>
      <c r="Q358" s="31"/>
      <c r="R358" s="31"/>
      <c r="S358" s="31"/>
      <c r="T358" s="31"/>
      <c r="U358" s="31"/>
      <c r="V358" s="31"/>
      <c r="W358" s="31"/>
      <c r="X358" s="31"/>
      <c r="Y358" s="31"/>
      <c r="Z358" s="31"/>
      <c r="AA358" s="31"/>
    </row>
    <row r="359" ht="15.75" customHeight="1">
      <c r="B359" s="84"/>
      <c r="D359" s="93"/>
      <c r="E359" s="11"/>
      <c r="F359" s="11"/>
      <c r="I359" s="31"/>
      <c r="J359" s="31"/>
      <c r="L359" s="31"/>
      <c r="M359" s="31"/>
      <c r="N359" s="31"/>
      <c r="O359" s="31"/>
      <c r="P359" s="31"/>
      <c r="Q359" s="31"/>
      <c r="R359" s="31"/>
      <c r="S359" s="31"/>
      <c r="T359" s="31"/>
      <c r="U359" s="31"/>
      <c r="V359" s="31"/>
      <c r="W359" s="31"/>
      <c r="X359" s="31"/>
      <c r="Y359" s="31"/>
      <c r="Z359" s="31"/>
      <c r="AA359" s="31"/>
    </row>
    <row r="360" ht="15.75" customHeight="1">
      <c r="B360" s="84"/>
      <c r="D360" s="93"/>
      <c r="E360" s="11"/>
      <c r="F360" s="11"/>
      <c r="I360" s="31"/>
      <c r="J360" s="31"/>
      <c r="L360" s="31"/>
      <c r="M360" s="31"/>
      <c r="N360" s="31"/>
      <c r="O360" s="31"/>
      <c r="P360" s="31"/>
      <c r="Q360" s="31"/>
      <c r="R360" s="31"/>
      <c r="S360" s="31"/>
      <c r="T360" s="31"/>
      <c r="U360" s="31"/>
      <c r="V360" s="31"/>
      <c r="W360" s="31"/>
      <c r="X360" s="31"/>
      <c r="Y360" s="31"/>
      <c r="Z360" s="31"/>
      <c r="AA360" s="31"/>
    </row>
    <row r="361" ht="15.75" customHeight="1">
      <c r="B361" s="84"/>
      <c r="D361" s="93"/>
      <c r="E361" s="11"/>
      <c r="F361" s="11"/>
      <c r="I361" s="31"/>
      <c r="J361" s="31"/>
      <c r="L361" s="31"/>
      <c r="M361" s="31"/>
      <c r="N361" s="31"/>
      <c r="O361" s="31"/>
      <c r="P361" s="31"/>
      <c r="Q361" s="31"/>
      <c r="R361" s="31"/>
      <c r="S361" s="31"/>
      <c r="T361" s="31"/>
      <c r="U361" s="31"/>
      <c r="V361" s="31"/>
      <c r="W361" s="31"/>
      <c r="X361" s="31"/>
      <c r="Y361" s="31"/>
      <c r="Z361" s="31"/>
      <c r="AA361" s="31"/>
    </row>
    <row r="362" ht="15.75" customHeight="1">
      <c r="B362" s="84"/>
      <c r="D362" s="93"/>
      <c r="E362" s="11"/>
      <c r="F362" s="11"/>
      <c r="I362" s="31"/>
      <c r="J362" s="31"/>
      <c r="L362" s="31"/>
      <c r="M362" s="31"/>
      <c r="N362" s="31"/>
      <c r="O362" s="31"/>
      <c r="P362" s="31"/>
      <c r="Q362" s="31"/>
      <c r="R362" s="31"/>
      <c r="S362" s="31"/>
      <c r="T362" s="31"/>
      <c r="U362" s="31"/>
      <c r="V362" s="31"/>
      <c r="W362" s="31"/>
      <c r="X362" s="31"/>
      <c r="Y362" s="31"/>
      <c r="Z362" s="31"/>
      <c r="AA362" s="31"/>
    </row>
    <row r="363" ht="15.75" customHeight="1">
      <c r="B363" s="84"/>
      <c r="D363" s="93"/>
      <c r="E363" s="11"/>
      <c r="F363" s="11"/>
      <c r="I363" s="31"/>
      <c r="J363" s="31"/>
      <c r="L363" s="31"/>
      <c r="M363" s="31"/>
      <c r="N363" s="31"/>
      <c r="O363" s="31"/>
      <c r="P363" s="31"/>
      <c r="Q363" s="31"/>
      <c r="R363" s="31"/>
      <c r="S363" s="31"/>
      <c r="T363" s="31"/>
      <c r="U363" s="31"/>
      <c r="V363" s="31"/>
      <c r="W363" s="31"/>
      <c r="X363" s="31"/>
      <c r="Y363" s="31"/>
      <c r="Z363" s="31"/>
      <c r="AA363" s="31"/>
    </row>
    <row r="364" ht="15.75" customHeight="1">
      <c r="B364" s="84"/>
      <c r="D364" s="93"/>
      <c r="E364" s="11"/>
      <c r="F364" s="11"/>
      <c r="I364" s="31"/>
      <c r="J364" s="31"/>
      <c r="L364" s="31"/>
      <c r="M364" s="31"/>
      <c r="N364" s="31"/>
      <c r="O364" s="31"/>
      <c r="P364" s="31"/>
      <c r="Q364" s="31"/>
      <c r="R364" s="31"/>
      <c r="S364" s="31"/>
      <c r="T364" s="31"/>
      <c r="U364" s="31"/>
      <c r="V364" s="31"/>
      <c r="W364" s="31"/>
      <c r="X364" s="31"/>
      <c r="Y364" s="31"/>
      <c r="Z364" s="31"/>
      <c r="AA364" s="31"/>
    </row>
    <row r="365" ht="15.75" customHeight="1">
      <c r="B365" s="84"/>
      <c r="D365" s="93"/>
      <c r="E365" s="11"/>
      <c r="F365" s="11"/>
      <c r="I365" s="31"/>
      <c r="J365" s="31"/>
      <c r="L365" s="31"/>
      <c r="M365" s="31"/>
      <c r="N365" s="31"/>
      <c r="O365" s="31"/>
      <c r="P365" s="31"/>
      <c r="Q365" s="31"/>
      <c r="R365" s="31"/>
      <c r="S365" s="31"/>
      <c r="T365" s="31"/>
      <c r="U365" s="31"/>
      <c r="V365" s="31"/>
      <c r="W365" s="31"/>
      <c r="X365" s="31"/>
      <c r="Y365" s="31"/>
      <c r="Z365" s="31"/>
      <c r="AA365" s="31"/>
    </row>
    <row r="366" ht="15.75" customHeight="1">
      <c r="B366" s="84"/>
      <c r="D366" s="93"/>
      <c r="E366" s="11"/>
      <c r="F366" s="11"/>
      <c r="I366" s="31"/>
      <c r="J366" s="31"/>
      <c r="L366" s="31"/>
      <c r="M366" s="31"/>
      <c r="N366" s="31"/>
      <c r="O366" s="31"/>
      <c r="P366" s="31"/>
      <c r="Q366" s="31"/>
      <c r="R366" s="31"/>
      <c r="S366" s="31"/>
      <c r="T366" s="31"/>
      <c r="U366" s="31"/>
      <c r="V366" s="31"/>
      <c r="W366" s="31"/>
      <c r="X366" s="31"/>
      <c r="Y366" s="31"/>
      <c r="Z366" s="31"/>
      <c r="AA366" s="31"/>
    </row>
    <row r="367" ht="15.75" customHeight="1">
      <c r="B367" s="84"/>
      <c r="D367" s="93"/>
      <c r="E367" s="11"/>
      <c r="F367" s="11"/>
      <c r="I367" s="31"/>
      <c r="J367" s="31"/>
      <c r="L367" s="31"/>
      <c r="M367" s="31"/>
      <c r="N367" s="31"/>
      <c r="O367" s="31"/>
      <c r="P367" s="31"/>
      <c r="Q367" s="31"/>
      <c r="R367" s="31"/>
      <c r="S367" s="31"/>
      <c r="T367" s="31"/>
      <c r="U367" s="31"/>
      <c r="V367" s="31"/>
      <c r="W367" s="31"/>
      <c r="X367" s="31"/>
      <c r="Y367" s="31"/>
      <c r="Z367" s="31"/>
      <c r="AA367" s="31"/>
    </row>
    <row r="368" ht="15.75" customHeight="1">
      <c r="B368" s="84"/>
      <c r="D368" s="93"/>
      <c r="E368" s="11"/>
      <c r="F368" s="11"/>
      <c r="I368" s="31"/>
      <c r="J368" s="31"/>
      <c r="L368" s="31"/>
      <c r="M368" s="31"/>
      <c r="N368" s="31"/>
      <c r="O368" s="31"/>
      <c r="P368" s="31"/>
      <c r="Q368" s="31"/>
      <c r="R368" s="31"/>
      <c r="S368" s="31"/>
      <c r="T368" s="31"/>
      <c r="U368" s="31"/>
      <c r="V368" s="31"/>
      <c r="W368" s="31"/>
      <c r="X368" s="31"/>
      <c r="Y368" s="31"/>
      <c r="Z368" s="31"/>
      <c r="AA368" s="31"/>
    </row>
    <row r="369" ht="15.75" customHeight="1">
      <c r="B369" s="84"/>
      <c r="D369" s="93"/>
      <c r="E369" s="11"/>
      <c r="F369" s="11"/>
      <c r="I369" s="31"/>
      <c r="J369" s="31"/>
      <c r="L369" s="31"/>
      <c r="M369" s="31"/>
      <c r="N369" s="31"/>
      <c r="O369" s="31"/>
      <c r="P369" s="31"/>
      <c r="Q369" s="31"/>
      <c r="R369" s="31"/>
      <c r="S369" s="31"/>
      <c r="T369" s="31"/>
      <c r="U369" s="31"/>
      <c r="V369" s="31"/>
      <c r="W369" s="31"/>
      <c r="X369" s="31"/>
      <c r="Y369" s="31"/>
      <c r="Z369" s="31"/>
      <c r="AA369" s="31"/>
    </row>
    <row r="370" ht="15.75" customHeight="1">
      <c r="B370" s="84"/>
      <c r="D370" s="93"/>
      <c r="E370" s="11"/>
      <c r="F370" s="11"/>
      <c r="I370" s="31"/>
      <c r="J370" s="31"/>
      <c r="L370" s="31"/>
      <c r="M370" s="31"/>
      <c r="N370" s="31"/>
      <c r="O370" s="31"/>
      <c r="P370" s="31"/>
      <c r="Q370" s="31"/>
      <c r="R370" s="31"/>
      <c r="S370" s="31"/>
      <c r="T370" s="31"/>
      <c r="U370" s="31"/>
      <c r="V370" s="31"/>
      <c r="W370" s="31"/>
      <c r="X370" s="31"/>
      <c r="Y370" s="31"/>
      <c r="Z370" s="31"/>
      <c r="AA370" s="31"/>
    </row>
    <row r="371" ht="15.75" customHeight="1">
      <c r="B371" s="84"/>
      <c r="D371" s="93"/>
      <c r="E371" s="11"/>
      <c r="F371" s="11"/>
      <c r="I371" s="31"/>
      <c r="J371" s="31"/>
      <c r="L371" s="31"/>
      <c r="M371" s="31"/>
      <c r="N371" s="31"/>
      <c r="O371" s="31"/>
      <c r="P371" s="31"/>
      <c r="Q371" s="31"/>
      <c r="R371" s="31"/>
      <c r="S371" s="31"/>
      <c r="T371" s="31"/>
      <c r="U371" s="31"/>
      <c r="V371" s="31"/>
      <c r="W371" s="31"/>
      <c r="X371" s="31"/>
      <c r="Y371" s="31"/>
      <c r="Z371" s="31"/>
      <c r="AA371" s="31"/>
    </row>
    <row r="372" ht="15.75" customHeight="1">
      <c r="B372" s="84"/>
      <c r="D372" s="93"/>
      <c r="E372" s="11"/>
      <c r="F372" s="11"/>
      <c r="I372" s="31"/>
      <c r="J372" s="31"/>
      <c r="L372" s="31"/>
      <c r="M372" s="31"/>
      <c r="N372" s="31"/>
      <c r="O372" s="31"/>
      <c r="P372" s="31"/>
      <c r="Q372" s="31"/>
      <c r="R372" s="31"/>
      <c r="S372" s="31"/>
      <c r="T372" s="31"/>
      <c r="U372" s="31"/>
      <c r="V372" s="31"/>
      <c r="W372" s="31"/>
      <c r="X372" s="31"/>
      <c r="Y372" s="31"/>
      <c r="Z372" s="31"/>
      <c r="AA372" s="31"/>
    </row>
    <row r="373" ht="15.75" customHeight="1">
      <c r="B373" s="84"/>
      <c r="D373" s="93"/>
      <c r="E373" s="11"/>
      <c r="F373" s="11"/>
      <c r="I373" s="31"/>
      <c r="J373" s="31"/>
      <c r="L373" s="31"/>
      <c r="M373" s="31"/>
      <c r="N373" s="31"/>
      <c r="O373" s="31"/>
      <c r="P373" s="31"/>
      <c r="Q373" s="31"/>
      <c r="R373" s="31"/>
      <c r="S373" s="31"/>
      <c r="T373" s="31"/>
      <c r="U373" s="31"/>
      <c r="V373" s="31"/>
      <c r="W373" s="31"/>
      <c r="X373" s="31"/>
      <c r="Y373" s="31"/>
      <c r="Z373" s="31"/>
      <c r="AA373" s="31"/>
    </row>
    <row r="374" ht="15.75" customHeight="1">
      <c r="B374" s="84"/>
      <c r="D374" s="93"/>
      <c r="E374" s="11"/>
      <c r="F374" s="11"/>
      <c r="I374" s="31"/>
      <c r="J374" s="31"/>
      <c r="L374" s="31"/>
      <c r="M374" s="31"/>
      <c r="N374" s="31"/>
      <c r="O374" s="31"/>
      <c r="P374" s="31"/>
      <c r="Q374" s="31"/>
      <c r="R374" s="31"/>
      <c r="S374" s="31"/>
      <c r="T374" s="31"/>
      <c r="U374" s="31"/>
      <c r="V374" s="31"/>
      <c r="W374" s="31"/>
      <c r="X374" s="31"/>
      <c r="Y374" s="31"/>
      <c r="Z374" s="31"/>
      <c r="AA374" s="31"/>
    </row>
    <row r="375" ht="15.75" customHeight="1">
      <c r="B375" s="84"/>
      <c r="D375" s="93"/>
      <c r="E375" s="11"/>
      <c r="F375" s="11"/>
      <c r="I375" s="31"/>
      <c r="J375" s="31"/>
      <c r="L375" s="31"/>
      <c r="M375" s="31"/>
      <c r="N375" s="31"/>
      <c r="O375" s="31"/>
      <c r="P375" s="31"/>
      <c r="Q375" s="31"/>
      <c r="R375" s="31"/>
      <c r="S375" s="31"/>
      <c r="T375" s="31"/>
      <c r="U375" s="31"/>
      <c r="V375" s="31"/>
      <c r="W375" s="31"/>
      <c r="X375" s="31"/>
      <c r="Y375" s="31"/>
      <c r="Z375" s="31"/>
      <c r="AA375" s="31"/>
    </row>
    <row r="376" ht="15.75" customHeight="1">
      <c r="B376" s="84"/>
      <c r="D376" s="93"/>
      <c r="E376" s="11"/>
      <c r="F376" s="11"/>
      <c r="I376" s="31"/>
      <c r="J376" s="31"/>
      <c r="L376" s="31"/>
      <c r="M376" s="31"/>
      <c r="N376" s="31"/>
      <c r="O376" s="31"/>
      <c r="P376" s="31"/>
      <c r="Q376" s="31"/>
      <c r="R376" s="31"/>
      <c r="S376" s="31"/>
      <c r="T376" s="31"/>
      <c r="U376" s="31"/>
      <c r="V376" s="31"/>
      <c r="W376" s="31"/>
      <c r="X376" s="31"/>
      <c r="Y376" s="31"/>
      <c r="Z376" s="31"/>
      <c r="AA376" s="31"/>
    </row>
    <row r="377" ht="15.75" customHeight="1">
      <c r="B377" s="84"/>
      <c r="D377" s="93"/>
      <c r="E377" s="11"/>
      <c r="F377" s="11"/>
      <c r="I377" s="31"/>
      <c r="J377" s="31"/>
      <c r="L377" s="31"/>
      <c r="M377" s="31"/>
      <c r="N377" s="31"/>
      <c r="O377" s="31"/>
      <c r="P377" s="31"/>
      <c r="Q377" s="31"/>
      <c r="R377" s="31"/>
      <c r="S377" s="31"/>
      <c r="T377" s="31"/>
      <c r="U377" s="31"/>
      <c r="V377" s="31"/>
      <c r="W377" s="31"/>
      <c r="X377" s="31"/>
      <c r="Y377" s="31"/>
      <c r="Z377" s="31"/>
      <c r="AA377" s="31"/>
    </row>
    <row r="378" ht="15.75" customHeight="1">
      <c r="B378" s="11"/>
      <c r="E378" s="11"/>
      <c r="F378" s="11"/>
    </row>
    <row r="379" ht="15.75" customHeight="1">
      <c r="B379" s="11"/>
      <c r="E379" s="11"/>
      <c r="F379" s="11"/>
    </row>
    <row r="380" ht="15.75" customHeight="1">
      <c r="B380" s="11"/>
      <c r="E380" s="11"/>
      <c r="F380" s="11"/>
    </row>
    <row r="381" ht="15.75" customHeight="1">
      <c r="B381" s="11"/>
      <c r="E381" s="11"/>
      <c r="F381" s="11"/>
    </row>
    <row r="382" ht="15.75" customHeight="1">
      <c r="B382" s="11"/>
      <c r="E382" s="11"/>
      <c r="F382" s="11"/>
    </row>
    <row r="383" ht="15.75" customHeight="1">
      <c r="B383" s="11"/>
      <c r="E383" s="11"/>
      <c r="F383" s="11"/>
    </row>
    <row r="384" ht="15.75" customHeight="1">
      <c r="B384" s="11"/>
      <c r="E384" s="11"/>
      <c r="F384" s="11"/>
    </row>
    <row r="385" ht="15.75" customHeight="1">
      <c r="B385" s="11"/>
      <c r="E385" s="11"/>
      <c r="F385" s="11"/>
    </row>
    <row r="386" ht="15.75" customHeight="1">
      <c r="B386" s="11"/>
      <c r="E386" s="11"/>
      <c r="F386" s="11"/>
    </row>
    <row r="387" ht="15.75" customHeight="1">
      <c r="B387" s="11"/>
      <c r="E387" s="11"/>
      <c r="F387" s="11"/>
    </row>
    <row r="388" ht="15.75" customHeight="1">
      <c r="B388" s="11"/>
      <c r="E388" s="11"/>
      <c r="F388" s="11"/>
    </row>
    <row r="389" ht="15.75" customHeight="1">
      <c r="B389" s="11"/>
      <c r="E389" s="11"/>
      <c r="F389" s="11"/>
    </row>
    <row r="390" ht="15.75" customHeight="1">
      <c r="B390" s="11"/>
      <c r="E390" s="11"/>
      <c r="F390" s="11"/>
    </row>
    <row r="391" ht="15.75" customHeight="1">
      <c r="B391" s="11"/>
      <c r="E391" s="11"/>
      <c r="F391" s="11"/>
    </row>
    <row r="392" ht="15.75" customHeight="1">
      <c r="B392" s="11"/>
      <c r="E392" s="11"/>
      <c r="F392" s="11"/>
    </row>
    <row r="393" ht="15.75" customHeight="1">
      <c r="B393" s="11"/>
      <c r="E393" s="11"/>
      <c r="F393" s="11"/>
    </row>
    <row r="394" ht="15.75" customHeight="1">
      <c r="B394" s="11"/>
      <c r="E394" s="11"/>
      <c r="F394" s="11"/>
    </row>
    <row r="395" ht="15.75" customHeight="1">
      <c r="B395" s="11"/>
      <c r="E395" s="11"/>
      <c r="F395" s="11"/>
    </row>
    <row r="396" ht="15.75" customHeight="1">
      <c r="B396" s="11"/>
      <c r="E396" s="11"/>
      <c r="F396" s="11"/>
    </row>
    <row r="397" ht="15.75" customHeight="1">
      <c r="B397" s="11"/>
      <c r="E397" s="11"/>
      <c r="F397" s="11"/>
    </row>
    <row r="398" ht="15.75" customHeight="1">
      <c r="B398" s="11"/>
      <c r="E398" s="11"/>
      <c r="F398" s="11"/>
    </row>
    <row r="399" ht="15.75" customHeight="1">
      <c r="B399" s="11"/>
      <c r="E399" s="11"/>
      <c r="F399" s="11"/>
    </row>
    <row r="400" ht="15.75" customHeight="1">
      <c r="B400" s="11"/>
      <c r="E400" s="11"/>
      <c r="F400" s="11"/>
    </row>
    <row r="401" ht="15.75" customHeight="1">
      <c r="B401" s="11"/>
      <c r="E401" s="11"/>
      <c r="F401" s="11"/>
    </row>
    <row r="402" ht="15.75" customHeight="1">
      <c r="B402" s="11"/>
      <c r="E402" s="11"/>
      <c r="F402" s="11"/>
    </row>
    <row r="403" ht="15.75" customHeight="1">
      <c r="B403" s="11"/>
      <c r="E403" s="11"/>
      <c r="F403" s="11"/>
    </row>
    <row r="404" ht="15.75" customHeight="1">
      <c r="B404" s="11"/>
      <c r="E404" s="11"/>
      <c r="F404" s="11"/>
    </row>
    <row r="405" ht="15.75" customHeight="1">
      <c r="B405" s="11"/>
      <c r="E405" s="11"/>
      <c r="F405" s="11"/>
    </row>
    <row r="406" ht="15.75" customHeight="1">
      <c r="B406" s="11"/>
      <c r="E406" s="11"/>
      <c r="F406" s="11"/>
    </row>
    <row r="407" ht="15.75" customHeight="1">
      <c r="B407" s="11"/>
      <c r="E407" s="11"/>
      <c r="F407" s="11"/>
    </row>
    <row r="408" ht="15.75" customHeight="1">
      <c r="B408" s="11"/>
      <c r="E408" s="11"/>
      <c r="F408" s="11"/>
    </row>
    <row r="409" ht="15.75" customHeight="1">
      <c r="B409" s="11"/>
      <c r="E409" s="11"/>
      <c r="F409" s="11"/>
    </row>
    <row r="410" ht="15.75" customHeight="1">
      <c r="B410" s="11"/>
      <c r="E410" s="11"/>
      <c r="F410" s="11"/>
    </row>
    <row r="411" ht="15.75" customHeight="1">
      <c r="B411" s="11"/>
      <c r="E411" s="11"/>
      <c r="F411" s="11"/>
    </row>
    <row r="412" ht="15.75" customHeight="1">
      <c r="B412" s="11"/>
      <c r="E412" s="11"/>
      <c r="F412" s="11"/>
    </row>
    <row r="413" ht="15.75" customHeight="1">
      <c r="B413" s="11"/>
      <c r="E413" s="11"/>
      <c r="F413" s="11"/>
    </row>
    <row r="414" ht="15.75" customHeight="1">
      <c r="B414" s="11"/>
      <c r="E414" s="11"/>
      <c r="F414" s="11"/>
    </row>
    <row r="415" ht="15.75" customHeight="1">
      <c r="B415" s="11"/>
      <c r="E415" s="11"/>
      <c r="F415" s="11"/>
    </row>
    <row r="416" ht="15.75" customHeight="1">
      <c r="B416" s="11"/>
      <c r="E416" s="11"/>
      <c r="F416" s="11"/>
    </row>
    <row r="417" ht="15.75" customHeight="1">
      <c r="B417" s="11"/>
      <c r="E417" s="11"/>
      <c r="F417" s="11"/>
    </row>
    <row r="418" ht="15.75" customHeight="1">
      <c r="B418" s="11"/>
      <c r="E418" s="11"/>
      <c r="F418" s="11"/>
    </row>
    <row r="419" ht="15.75" customHeight="1">
      <c r="B419" s="11"/>
      <c r="E419" s="11"/>
      <c r="F419" s="11"/>
    </row>
    <row r="420" ht="15.75" customHeight="1">
      <c r="B420" s="11"/>
      <c r="E420" s="11"/>
      <c r="F420" s="11"/>
    </row>
    <row r="421" ht="15.75" customHeight="1">
      <c r="B421" s="11"/>
      <c r="E421" s="11"/>
      <c r="F421" s="11"/>
    </row>
    <row r="422" ht="15.75" customHeight="1">
      <c r="B422" s="11"/>
      <c r="E422" s="11"/>
      <c r="F422" s="11"/>
    </row>
    <row r="423" ht="15.75" customHeight="1">
      <c r="B423" s="11"/>
      <c r="E423" s="11"/>
      <c r="F423" s="11"/>
    </row>
    <row r="424" ht="15.75" customHeight="1">
      <c r="B424" s="11"/>
      <c r="E424" s="11"/>
      <c r="F424" s="11"/>
    </row>
    <row r="425" ht="15.75" customHeight="1">
      <c r="B425" s="11"/>
      <c r="E425" s="11"/>
      <c r="F425" s="11"/>
    </row>
    <row r="426" ht="15.75" customHeight="1">
      <c r="B426" s="11"/>
      <c r="E426" s="11"/>
      <c r="F426" s="11"/>
    </row>
    <row r="427" ht="15.75" customHeight="1">
      <c r="B427" s="11"/>
      <c r="E427" s="11"/>
      <c r="F427" s="11"/>
    </row>
    <row r="428" ht="15.75" customHeight="1">
      <c r="B428" s="11"/>
      <c r="E428" s="11"/>
      <c r="F428" s="11"/>
    </row>
    <row r="429" ht="15.75" customHeight="1">
      <c r="B429" s="11"/>
      <c r="E429" s="11"/>
      <c r="F429" s="11"/>
    </row>
    <row r="430" ht="15.75" customHeight="1">
      <c r="B430" s="11"/>
      <c r="E430" s="11"/>
      <c r="F430" s="11"/>
    </row>
    <row r="431" ht="15.75" customHeight="1">
      <c r="B431" s="11"/>
      <c r="E431" s="11"/>
      <c r="F431" s="11"/>
    </row>
    <row r="432" ht="15.75" customHeight="1">
      <c r="B432" s="11"/>
      <c r="E432" s="11"/>
      <c r="F432" s="11"/>
    </row>
    <row r="433" ht="15.75" customHeight="1">
      <c r="B433" s="11"/>
      <c r="E433" s="11"/>
      <c r="F433" s="11"/>
    </row>
    <row r="434" ht="15.75" customHeight="1">
      <c r="B434" s="11"/>
      <c r="E434" s="11"/>
      <c r="F434" s="11"/>
    </row>
    <row r="435" ht="15.75" customHeight="1">
      <c r="B435" s="11"/>
      <c r="E435" s="11"/>
      <c r="F435" s="11"/>
    </row>
    <row r="436" ht="15.75" customHeight="1">
      <c r="B436" s="11"/>
      <c r="E436" s="11"/>
      <c r="F436" s="11"/>
    </row>
    <row r="437" ht="15.75" customHeight="1">
      <c r="B437" s="11"/>
      <c r="E437" s="11"/>
      <c r="F437" s="11"/>
    </row>
    <row r="438" ht="15.75" customHeight="1">
      <c r="B438" s="11"/>
      <c r="E438" s="11"/>
      <c r="F438" s="11"/>
    </row>
    <row r="439" ht="15.75" customHeight="1">
      <c r="B439" s="11"/>
      <c r="E439" s="11"/>
      <c r="F439" s="11"/>
    </row>
    <row r="440" ht="15.75" customHeight="1">
      <c r="B440" s="11"/>
      <c r="E440" s="11"/>
      <c r="F440" s="11"/>
    </row>
    <row r="441" ht="15.75" customHeight="1">
      <c r="B441" s="11"/>
      <c r="E441" s="11"/>
      <c r="F441" s="11"/>
    </row>
    <row r="442" ht="15.75" customHeight="1">
      <c r="B442" s="11"/>
      <c r="E442" s="11"/>
      <c r="F442" s="11"/>
    </row>
    <row r="443" ht="15.75" customHeight="1">
      <c r="B443" s="11"/>
      <c r="E443" s="11"/>
      <c r="F443" s="11"/>
    </row>
    <row r="444" ht="15.75" customHeight="1">
      <c r="B444" s="11"/>
      <c r="E444" s="11"/>
      <c r="F444" s="11"/>
    </row>
    <row r="445" ht="15.75" customHeight="1">
      <c r="B445" s="11"/>
      <c r="E445" s="11"/>
      <c r="F445" s="11"/>
    </row>
    <row r="446" ht="15.75" customHeight="1">
      <c r="B446" s="11"/>
      <c r="E446" s="11"/>
      <c r="F446" s="11"/>
    </row>
    <row r="447" ht="15.75" customHeight="1">
      <c r="B447" s="11"/>
      <c r="E447" s="11"/>
      <c r="F447" s="11"/>
    </row>
    <row r="448" ht="15.75" customHeight="1">
      <c r="B448" s="11"/>
      <c r="E448" s="11"/>
      <c r="F448" s="11"/>
    </row>
    <row r="449" ht="15.75" customHeight="1">
      <c r="B449" s="11"/>
      <c r="E449" s="11"/>
      <c r="F449" s="11"/>
    </row>
    <row r="450" ht="15.75" customHeight="1">
      <c r="B450" s="11"/>
      <c r="E450" s="11"/>
      <c r="F450" s="11"/>
    </row>
    <row r="451" ht="15.75" customHeight="1">
      <c r="B451" s="11"/>
      <c r="E451" s="11"/>
      <c r="F451" s="11"/>
    </row>
    <row r="452" ht="15.75" customHeight="1">
      <c r="B452" s="11"/>
      <c r="E452" s="11"/>
      <c r="F452" s="11"/>
    </row>
    <row r="453" ht="15.75" customHeight="1">
      <c r="B453" s="11"/>
      <c r="E453" s="11"/>
      <c r="F453" s="11"/>
    </row>
    <row r="454" ht="15.75" customHeight="1">
      <c r="B454" s="11"/>
      <c r="E454" s="11"/>
      <c r="F454" s="11"/>
    </row>
    <row r="455" ht="15.75" customHeight="1">
      <c r="B455" s="11"/>
      <c r="E455" s="11"/>
      <c r="F455" s="11"/>
    </row>
    <row r="456" ht="15.75" customHeight="1">
      <c r="B456" s="11"/>
      <c r="E456" s="11"/>
      <c r="F456" s="11"/>
    </row>
    <row r="457" ht="15.75" customHeight="1">
      <c r="B457" s="11"/>
      <c r="E457" s="11"/>
      <c r="F457" s="11"/>
    </row>
    <row r="458" ht="15.75" customHeight="1">
      <c r="B458" s="11"/>
      <c r="E458" s="11"/>
      <c r="F458" s="11"/>
    </row>
    <row r="459" ht="15.75" customHeight="1">
      <c r="B459" s="11"/>
      <c r="E459" s="11"/>
      <c r="F459" s="11"/>
    </row>
    <row r="460" ht="15.75" customHeight="1">
      <c r="B460" s="11"/>
      <c r="E460" s="11"/>
      <c r="F460" s="11"/>
    </row>
    <row r="461" ht="15.75" customHeight="1">
      <c r="B461" s="11"/>
      <c r="E461" s="11"/>
      <c r="F461" s="11"/>
    </row>
    <row r="462" ht="15.75" customHeight="1">
      <c r="B462" s="11"/>
      <c r="E462" s="11"/>
      <c r="F462" s="11"/>
    </row>
    <row r="463" ht="15.75" customHeight="1">
      <c r="B463" s="11"/>
      <c r="E463" s="11"/>
      <c r="F463" s="11"/>
    </row>
    <row r="464" ht="15.75" customHeight="1">
      <c r="B464" s="11"/>
      <c r="E464" s="11"/>
      <c r="F464" s="11"/>
    </row>
    <row r="465" ht="15.75" customHeight="1">
      <c r="B465" s="11"/>
      <c r="E465" s="11"/>
      <c r="F465" s="11"/>
    </row>
    <row r="466" ht="15.75" customHeight="1">
      <c r="B466" s="11"/>
      <c r="E466" s="11"/>
      <c r="F466" s="11"/>
    </row>
    <row r="467" ht="15.75" customHeight="1">
      <c r="B467" s="11"/>
      <c r="E467" s="11"/>
      <c r="F467" s="11"/>
    </row>
    <row r="468" ht="15.75" customHeight="1">
      <c r="B468" s="11"/>
      <c r="E468" s="11"/>
      <c r="F468" s="11"/>
    </row>
    <row r="469" ht="15.75" customHeight="1">
      <c r="B469" s="11"/>
      <c r="E469" s="11"/>
      <c r="F469" s="11"/>
    </row>
    <row r="470" ht="15.75" customHeight="1">
      <c r="B470" s="11"/>
      <c r="E470" s="11"/>
      <c r="F470" s="11"/>
    </row>
    <row r="471" ht="15.75" customHeight="1">
      <c r="B471" s="11"/>
      <c r="E471" s="11"/>
      <c r="F471" s="11"/>
    </row>
    <row r="472" ht="15.75" customHeight="1">
      <c r="B472" s="11"/>
      <c r="E472" s="11"/>
      <c r="F472" s="11"/>
    </row>
    <row r="473" ht="15.75" customHeight="1">
      <c r="B473" s="11"/>
      <c r="E473" s="11"/>
      <c r="F473" s="11"/>
    </row>
    <row r="474" ht="15.75" customHeight="1">
      <c r="B474" s="11"/>
      <c r="E474" s="11"/>
      <c r="F474" s="11"/>
    </row>
    <row r="475" ht="15.75" customHeight="1">
      <c r="B475" s="11"/>
      <c r="E475" s="11"/>
      <c r="F475" s="11"/>
    </row>
    <row r="476" ht="15.75" customHeight="1">
      <c r="B476" s="11"/>
      <c r="E476" s="11"/>
      <c r="F476" s="11"/>
    </row>
    <row r="477" ht="15.75" customHeight="1">
      <c r="B477" s="11"/>
      <c r="E477" s="11"/>
      <c r="F477" s="11"/>
    </row>
    <row r="478" ht="15.75" customHeight="1">
      <c r="B478" s="11"/>
      <c r="E478" s="11"/>
      <c r="F478" s="11"/>
    </row>
    <row r="479" ht="15.75" customHeight="1">
      <c r="B479" s="11"/>
      <c r="E479" s="11"/>
      <c r="F479" s="11"/>
    </row>
    <row r="480" ht="15.75" customHeight="1">
      <c r="B480" s="11"/>
      <c r="E480" s="11"/>
      <c r="F480" s="11"/>
    </row>
    <row r="481" ht="15.75" customHeight="1">
      <c r="B481" s="11"/>
      <c r="E481" s="11"/>
      <c r="F481" s="11"/>
    </row>
    <row r="482" ht="15.75" customHeight="1">
      <c r="B482" s="11"/>
      <c r="E482" s="11"/>
      <c r="F482" s="11"/>
    </row>
    <row r="483" ht="15.75" customHeight="1">
      <c r="B483" s="11"/>
      <c r="E483" s="11"/>
      <c r="F483" s="11"/>
    </row>
    <row r="484" ht="15.75" customHeight="1">
      <c r="B484" s="11"/>
      <c r="E484" s="11"/>
      <c r="F484" s="11"/>
    </row>
    <row r="485" ht="15.75" customHeight="1">
      <c r="B485" s="11"/>
      <c r="E485" s="11"/>
      <c r="F485" s="11"/>
    </row>
    <row r="486" ht="15.75" customHeight="1">
      <c r="B486" s="11"/>
      <c r="E486" s="11"/>
      <c r="F486" s="11"/>
    </row>
    <row r="487" ht="15.75" customHeight="1">
      <c r="B487" s="11"/>
      <c r="E487" s="11"/>
      <c r="F487" s="11"/>
    </row>
    <row r="488" ht="15.75" customHeight="1">
      <c r="B488" s="11"/>
      <c r="E488" s="11"/>
      <c r="F488" s="11"/>
    </row>
    <row r="489" ht="15.75" customHeight="1">
      <c r="B489" s="11"/>
      <c r="E489" s="11"/>
      <c r="F489" s="11"/>
    </row>
    <row r="490" ht="15.75" customHeight="1">
      <c r="B490" s="11"/>
      <c r="E490" s="11"/>
      <c r="F490" s="11"/>
    </row>
    <row r="491" ht="15.75" customHeight="1">
      <c r="B491" s="11"/>
      <c r="E491" s="11"/>
      <c r="F491" s="11"/>
    </row>
    <row r="492" ht="15.75" customHeight="1">
      <c r="B492" s="11"/>
      <c r="E492" s="11"/>
      <c r="F492" s="11"/>
    </row>
    <row r="493" ht="15.75" customHeight="1">
      <c r="B493" s="11"/>
      <c r="E493" s="11"/>
      <c r="F493" s="11"/>
    </row>
    <row r="494" ht="15.75" customHeight="1">
      <c r="B494" s="11"/>
      <c r="E494" s="11"/>
      <c r="F494" s="11"/>
    </row>
    <row r="495" ht="15.75" customHeight="1">
      <c r="B495" s="11"/>
      <c r="E495" s="11"/>
      <c r="F495" s="11"/>
    </row>
    <row r="496" ht="15.75" customHeight="1">
      <c r="B496" s="11"/>
      <c r="E496" s="11"/>
      <c r="F496" s="11"/>
    </row>
    <row r="497" ht="15.75" customHeight="1">
      <c r="B497" s="11"/>
      <c r="E497" s="11"/>
      <c r="F497" s="11"/>
    </row>
    <row r="498" ht="15.75" customHeight="1">
      <c r="B498" s="11"/>
      <c r="E498" s="11"/>
      <c r="F498" s="11"/>
    </row>
    <row r="499" ht="15.75" customHeight="1">
      <c r="B499" s="11"/>
      <c r="E499" s="11"/>
      <c r="F499" s="11"/>
    </row>
    <row r="500" ht="15.75" customHeight="1">
      <c r="B500" s="11"/>
      <c r="E500" s="11"/>
      <c r="F500" s="11"/>
    </row>
    <row r="501" ht="15.75" customHeight="1">
      <c r="B501" s="11"/>
      <c r="E501" s="11"/>
      <c r="F501" s="11"/>
    </row>
    <row r="502" ht="15.75" customHeight="1">
      <c r="B502" s="11"/>
      <c r="E502" s="11"/>
      <c r="F502" s="11"/>
    </row>
    <row r="503" ht="15.75" customHeight="1">
      <c r="B503" s="11"/>
      <c r="E503" s="11"/>
      <c r="F503" s="11"/>
    </row>
    <row r="504" ht="15.75" customHeight="1">
      <c r="B504" s="11"/>
      <c r="E504" s="11"/>
      <c r="F504" s="11"/>
    </row>
    <row r="505" ht="15.75" customHeight="1">
      <c r="B505" s="11"/>
      <c r="E505" s="11"/>
      <c r="F505" s="11"/>
    </row>
    <row r="506" ht="15.75" customHeight="1">
      <c r="B506" s="11"/>
      <c r="E506" s="11"/>
      <c r="F506" s="11"/>
    </row>
    <row r="507" ht="15.75" customHeight="1">
      <c r="B507" s="11"/>
      <c r="E507" s="11"/>
      <c r="F507" s="11"/>
    </row>
    <row r="508" ht="15.75" customHeight="1">
      <c r="B508" s="11"/>
      <c r="E508" s="11"/>
      <c r="F508" s="11"/>
    </row>
    <row r="509" ht="15.75" customHeight="1">
      <c r="B509" s="11"/>
      <c r="E509" s="11"/>
      <c r="F509" s="11"/>
    </row>
    <row r="510" ht="15.75" customHeight="1">
      <c r="B510" s="11"/>
      <c r="E510" s="11"/>
      <c r="F510" s="11"/>
    </row>
    <row r="511" ht="15.75" customHeight="1">
      <c r="B511" s="11"/>
      <c r="E511" s="11"/>
      <c r="F511" s="11"/>
    </row>
    <row r="512" ht="15.75" customHeight="1">
      <c r="B512" s="11"/>
      <c r="E512" s="11"/>
      <c r="F512" s="11"/>
    </row>
    <row r="513" ht="15.75" customHeight="1">
      <c r="B513" s="11"/>
      <c r="E513" s="11"/>
      <c r="F513" s="11"/>
    </row>
    <row r="514" ht="15.75" customHeight="1">
      <c r="B514" s="11"/>
      <c r="E514" s="11"/>
      <c r="F514" s="11"/>
    </row>
    <row r="515" ht="15.75" customHeight="1">
      <c r="B515" s="11"/>
      <c r="E515" s="11"/>
      <c r="F515" s="11"/>
    </row>
    <row r="516" ht="15.75" customHeight="1">
      <c r="B516" s="11"/>
      <c r="E516" s="11"/>
      <c r="F516" s="11"/>
    </row>
    <row r="517" ht="15.75" customHeight="1">
      <c r="B517" s="11"/>
      <c r="E517" s="11"/>
      <c r="F517" s="11"/>
    </row>
    <row r="518" ht="15.75" customHeight="1">
      <c r="B518" s="11"/>
      <c r="E518" s="11"/>
      <c r="F518" s="11"/>
    </row>
    <row r="519" ht="15.75" customHeight="1">
      <c r="B519" s="11"/>
      <c r="E519" s="11"/>
      <c r="F519" s="11"/>
    </row>
    <row r="520" ht="15.75" customHeight="1">
      <c r="B520" s="11"/>
      <c r="E520" s="11"/>
      <c r="F520" s="11"/>
    </row>
    <row r="521" ht="15.75" customHeight="1">
      <c r="B521" s="11"/>
      <c r="E521" s="11"/>
      <c r="F521" s="11"/>
    </row>
    <row r="522" ht="15.75" customHeight="1">
      <c r="B522" s="11"/>
      <c r="E522" s="11"/>
      <c r="F522" s="11"/>
    </row>
    <row r="523" ht="15.75" customHeight="1">
      <c r="B523" s="11"/>
      <c r="E523" s="11"/>
      <c r="F523" s="11"/>
    </row>
    <row r="524" ht="15.75" customHeight="1">
      <c r="B524" s="11"/>
      <c r="E524" s="11"/>
      <c r="F524" s="11"/>
    </row>
    <row r="525" ht="15.75" customHeight="1">
      <c r="B525" s="11"/>
      <c r="E525" s="11"/>
      <c r="F525" s="11"/>
    </row>
    <row r="526" ht="15.75" customHeight="1">
      <c r="B526" s="11"/>
      <c r="E526" s="11"/>
      <c r="F526" s="11"/>
    </row>
    <row r="527" ht="15.75" customHeight="1">
      <c r="B527" s="11"/>
      <c r="E527" s="11"/>
      <c r="F527" s="11"/>
    </row>
    <row r="528" ht="15.75" customHeight="1">
      <c r="B528" s="11"/>
      <c r="E528" s="11"/>
      <c r="F528" s="11"/>
    </row>
    <row r="529" ht="15.75" customHeight="1">
      <c r="B529" s="11"/>
      <c r="E529" s="11"/>
      <c r="F529" s="11"/>
    </row>
    <row r="530" ht="15.75" customHeight="1">
      <c r="B530" s="11"/>
      <c r="E530" s="11"/>
      <c r="F530" s="11"/>
    </row>
    <row r="531" ht="15.75" customHeight="1">
      <c r="B531" s="11"/>
      <c r="E531" s="11"/>
      <c r="F531" s="11"/>
    </row>
    <row r="532" ht="15.75" customHeight="1">
      <c r="B532" s="11"/>
      <c r="E532" s="11"/>
      <c r="F532" s="11"/>
    </row>
    <row r="533" ht="15.75" customHeight="1">
      <c r="B533" s="11"/>
      <c r="E533" s="11"/>
      <c r="F533" s="11"/>
    </row>
    <row r="534" ht="15.75" customHeight="1">
      <c r="B534" s="11"/>
      <c r="E534" s="11"/>
      <c r="F534" s="11"/>
    </row>
    <row r="535" ht="15.75" customHeight="1">
      <c r="B535" s="11"/>
      <c r="E535" s="11"/>
      <c r="F535" s="11"/>
    </row>
    <row r="536" ht="15.75" customHeight="1">
      <c r="B536" s="11"/>
      <c r="E536" s="11"/>
      <c r="F536" s="11"/>
    </row>
    <row r="537" ht="15.75" customHeight="1">
      <c r="B537" s="11"/>
      <c r="E537" s="11"/>
      <c r="F537" s="11"/>
    </row>
    <row r="538" ht="15.75" customHeight="1">
      <c r="B538" s="11"/>
      <c r="E538" s="11"/>
      <c r="F538" s="11"/>
    </row>
    <row r="539" ht="15.75" customHeight="1">
      <c r="B539" s="11"/>
      <c r="E539" s="11"/>
      <c r="F539" s="11"/>
    </row>
    <row r="540" ht="15.75" customHeight="1">
      <c r="B540" s="11"/>
      <c r="E540" s="11"/>
      <c r="F540" s="11"/>
    </row>
    <row r="541" ht="15.75" customHeight="1">
      <c r="B541" s="11"/>
      <c r="E541" s="11"/>
      <c r="F541" s="11"/>
    </row>
    <row r="542" ht="15.75" customHeight="1">
      <c r="B542" s="11"/>
      <c r="E542" s="11"/>
      <c r="F542" s="11"/>
    </row>
    <row r="543" ht="15.75" customHeight="1">
      <c r="B543" s="11"/>
      <c r="E543" s="11"/>
      <c r="F543" s="11"/>
    </row>
    <row r="544" ht="15.75" customHeight="1">
      <c r="B544" s="11"/>
      <c r="E544" s="11"/>
      <c r="F544" s="11"/>
    </row>
    <row r="545" ht="15.75" customHeight="1">
      <c r="B545" s="11"/>
      <c r="E545" s="11"/>
      <c r="F545" s="11"/>
    </row>
    <row r="546" ht="15.75" customHeight="1">
      <c r="B546" s="11"/>
      <c r="E546" s="11"/>
      <c r="F546" s="11"/>
    </row>
    <row r="547" ht="15.75" customHeight="1">
      <c r="B547" s="11"/>
      <c r="E547" s="11"/>
      <c r="F547" s="11"/>
    </row>
    <row r="548" ht="15.75" customHeight="1">
      <c r="B548" s="11"/>
      <c r="E548" s="11"/>
      <c r="F548" s="11"/>
    </row>
    <row r="549" ht="15.75" customHeight="1">
      <c r="B549" s="11"/>
      <c r="E549" s="11"/>
      <c r="F549" s="11"/>
    </row>
    <row r="550" ht="15.75" customHeight="1">
      <c r="B550" s="11"/>
      <c r="E550" s="11"/>
      <c r="F550" s="11"/>
    </row>
    <row r="551" ht="15.75" customHeight="1">
      <c r="B551" s="11"/>
      <c r="E551" s="11"/>
      <c r="F551" s="11"/>
    </row>
    <row r="552" ht="15.75" customHeight="1">
      <c r="B552" s="11"/>
      <c r="E552" s="11"/>
      <c r="F552" s="11"/>
    </row>
    <row r="553" ht="15.75" customHeight="1">
      <c r="B553" s="11"/>
      <c r="E553" s="11"/>
      <c r="F553" s="11"/>
    </row>
    <row r="554" ht="15.75" customHeight="1">
      <c r="B554" s="11"/>
      <c r="E554" s="11"/>
      <c r="F554" s="11"/>
    </row>
    <row r="555" ht="15.75" customHeight="1">
      <c r="B555" s="11"/>
      <c r="E555" s="11"/>
      <c r="F555" s="11"/>
    </row>
    <row r="556" ht="15.75" customHeight="1">
      <c r="B556" s="11"/>
      <c r="E556" s="11"/>
      <c r="F556" s="11"/>
    </row>
    <row r="557" ht="15.75" customHeight="1">
      <c r="B557" s="11"/>
      <c r="E557" s="11"/>
      <c r="F557" s="11"/>
    </row>
    <row r="558" ht="15.75" customHeight="1">
      <c r="B558" s="11"/>
      <c r="E558" s="11"/>
      <c r="F558" s="11"/>
    </row>
    <row r="559" ht="15.75" customHeight="1">
      <c r="B559" s="11"/>
      <c r="E559" s="11"/>
      <c r="F559" s="11"/>
    </row>
    <row r="560" ht="15.75" customHeight="1">
      <c r="B560" s="11"/>
      <c r="E560" s="11"/>
      <c r="F560" s="11"/>
    </row>
    <row r="561" ht="15.75" customHeight="1">
      <c r="B561" s="11"/>
      <c r="E561" s="11"/>
      <c r="F561" s="11"/>
    </row>
    <row r="562" ht="15.75" customHeight="1">
      <c r="B562" s="11"/>
      <c r="E562" s="11"/>
      <c r="F562" s="11"/>
    </row>
    <row r="563" ht="15.75" customHeight="1">
      <c r="B563" s="11"/>
      <c r="E563" s="11"/>
      <c r="F563" s="11"/>
    </row>
    <row r="564" ht="15.75" customHeight="1">
      <c r="B564" s="11"/>
      <c r="E564" s="11"/>
      <c r="F564" s="11"/>
    </row>
    <row r="565" ht="15.75" customHeight="1">
      <c r="B565" s="11"/>
      <c r="E565" s="11"/>
      <c r="F565" s="11"/>
    </row>
    <row r="566" ht="15.75" customHeight="1">
      <c r="B566" s="11"/>
      <c r="E566" s="11"/>
      <c r="F566" s="11"/>
    </row>
    <row r="567" ht="15.75" customHeight="1">
      <c r="B567" s="11"/>
      <c r="E567" s="11"/>
      <c r="F567" s="11"/>
    </row>
    <row r="568" ht="15.75" customHeight="1">
      <c r="B568" s="11"/>
      <c r="E568" s="11"/>
      <c r="F568" s="11"/>
    </row>
    <row r="569" ht="15.75" customHeight="1">
      <c r="B569" s="11"/>
      <c r="E569" s="11"/>
      <c r="F569" s="11"/>
    </row>
    <row r="570" ht="15.75" customHeight="1">
      <c r="B570" s="11"/>
      <c r="E570" s="11"/>
      <c r="F570" s="11"/>
    </row>
    <row r="571" ht="15.75" customHeight="1">
      <c r="B571" s="11"/>
      <c r="E571" s="11"/>
      <c r="F571" s="11"/>
    </row>
    <row r="572" ht="15.75" customHeight="1">
      <c r="B572" s="11"/>
      <c r="E572" s="11"/>
      <c r="F572" s="11"/>
    </row>
    <row r="573" ht="15.75" customHeight="1">
      <c r="B573" s="11"/>
      <c r="E573" s="11"/>
      <c r="F573" s="11"/>
    </row>
    <row r="574" ht="15.75" customHeight="1">
      <c r="B574" s="11"/>
      <c r="E574" s="11"/>
      <c r="F574" s="11"/>
    </row>
    <row r="575" ht="15.75" customHeight="1">
      <c r="B575" s="11"/>
      <c r="E575" s="11"/>
      <c r="F575" s="11"/>
    </row>
    <row r="576" ht="15.75" customHeight="1">
      <c r="B576" s="11"/>
      <c r="E576" s="11"/>
      <c r="F576" s="11"/>
    </row>
    <row r="577" ht="15.75" customHeight="1">
      <c r="B577" s="11"/>
      <c r="E577" s="11"/>
      <c r="F577" s="11"/>
    </row>
    <row r="578" ht="15.75" customHeight="1">
      <c r="B578" s="11"/>
      <c r="E578" s="11"/>
      <c r="F578" s="11"/>
    </row>
    <row r="579" ht="15.75" customHeight="1">
      <c r="B579" s="11"/>
      <c r="E579" s="11"/>
      <c r="F579" s="11"/>
    </row>
    <row r="580" ht="15.75" customHeight="1">
      <c r="B580" s="11"/>
      <c r="E580" s="11"/>
      <c r="F580" s="11"/>
    </row>
    <row r="581" ht="15.75" customHeight="1">
      <c r="B581" s="11"/>
      <c r="E581" s="11"/>
      <c r="F581" s="11"/>
    </row>
    <row r="582" ht="15.75" customHeight="1">
      <c r="B582" s="11"/>
      <c r="E582" s="11"/>
      <c r="F582" s="11"/>
    </row>
    <row r="583" ht="15.75" customHeight="1">
      <c r="B583" s="11"/>
      <c r="E583" s="11"/>
      <c r="F583" s="11"/>
    </row>
    <row r="584" ht="15.75" customHeight="1">
      <c r="B584" s="11"/>
      <c r="E584" s="11"/>
      <c r="F584" s="11"/>
    </row>
    <row r="585" ht="15.75" customHeight="1">
      <c r="B585" s="11"/>
      <c r="E585" s="11"/>
      <c r="F585" s="11"/>
    </row>
    <row r="586" ht="15.75" customHeight="1">
      <c r="B586" s="11"/>
      <c r="E586" s="11"/>
      <c r="F586" s="11"/>
    </row>
    <row r="587" ht="15.75" customHeight="1">
      <c r="B587" s="11"/>
      <c r="E587" s="11"/>
      <c r="F587" s="11"/>
    </row>
    <row r="588" ht="15.75" customHeight="1">
      <c r="B588" s="11"/>
      <c r="E588" s="11"/>
      <c r="F588" s="11"/>
    </row>
    <row r="589" ht="15.75" customHeight="1">
      <c r="B589" s="11"/>
      <c r="E589" s="11"/>
      <c r="F589" s="11"/>
    </row>
    <row r="590" ht="15.75" customHeight="1">
      <c r="B590" s="11"/>
      <c r="E590" s="11"/>
      <c r="F590" s="11"/>
    </row>
    <row r="591" ht="15.75" customHeight="1">
      <c r="B591" s="11"/>
      <c r="E591" s="11"/>
      <c r="F591" s="11"/>
    </row>
    <row r="592" ht="15.75" customHeight="1">
      <c r="B592" s="11"/>
      <c r="E592" s="11"/>
      <c r="F592" s="11"/>
    </row>
    <row r="593" ht="15.75" customHeight="1">
      <c r="B593" s="11"/>
      <c r="E593" s="11"/>
      <c r="F593" s="11"/>
    </row>
    <row r="594" ht="15.75" customHeight="1">
      <c r="B594" s="11"/>
      <c r="E594" s="11"/>
      <c r="F594" s="11"/>
    </row>
    <row r="595" ht="15.75" customHeight="1">
      <c r="B595" s="11"/>
      <c r="E595" s="11"/>
      <c r="F595" s="11"/>
    </row>
    <row r="596" ht="15.75" customHeight="1">
      <c r="B596" s="11"/>
      <c r="E596" s="11"/>
      <c r="F596" s="11"/>
    </row>
    <row r="597" ht="15.75" customHeight="1">
      <c r="B597" s="11"/>
      <c r="E597" s="11"/>
      <c r="F597" s="11"/>
    </row>
    <row r="598" ht="15.75" customHeight="1">
      <c r="B598" s="11"/>
      <c r="E598" s="11"/>
      <c r="F598" s="11"/>
    </row>
    <row r="599" ht="15.75" customHeight="1">
      <c r="B599" s="11"/>
      <c r="E599" s="11"/>
      <c r="F599" s="11"/>
    </row>
    <row r="600" ht="15.75" customHeight="1">
      <c r="B600" s="11"/>
      <c r="E600" s="11"/>
      <c r="F600" s="11"/>
    </row>
    <row r="601" ht="15.75" customHeight="1">
      <c r="B601" s="11"/>
      <c r="E601" s="11"/>
      <c r="F601" s="11"/>
    </row>
    <row r="602" ht="15.75" customHeight="1">
      <c r="B602" s="11"/>
      <c r="E602" s="11"/>
      <c r="F602" s="11"/>
    </row>
    <row r="603" ht="15.75" customHeight="1">
      <c r="B603" s="11"/>
      <c r="E603" s="11"/>
      <c r="F603" s="11"/>
    </row>
    <row r="604" ht="15.75" customHeight="1">
      <c r="B604" s="11"/>
      <c r="E604" s="11"/>
      <c r="F604" s="11"/>
    </row>
    <row r="605" ht="15.75" customHeight="1">
      <c r="B605" s="11"/>
      <c r="E605" s="11"/>
      <c r="F605" s="11"/>
    </row>
    <row r="606" ht="15.75" customHeight="1">
      <c r="B606" s="11"/>
      <c r="E606" s="11"/>
      <c r="F606" s="11"/>
    </row>
    <row r="607" ht="15.75" customHeight="1">
      <c r="B607" s="11"/>
      <c r="E607" s="11"/>
      <c r="F607" s="11"/>
    </row>
    <row r="608" ht="15.75" customHeight="1">
      <c r="B608" s="11"/>
      <c r="E608" s="11"/>
      <c r="F608" s="11"/>
    </row>
    <row r="609" ht="15.75" customHeight="1">
      <c r="B609" s="11"/>
      <c r="E609" s="11"/>
      <c r="F609" s="11"/>
    </row>
    <row r="610" ht="15.75" customHeight="1">
      <c r="B610" s="11"/>
      <c r="E610" s="11"/>
      <c r="F610" s="11"/>
    </row>
    <row r="611" ht="15.75" customHeight="1">
      <c r="B611" s="11"/>
      <c r="E611" s="11"/>
      <c r="F611" s="11"/>
    </row>
    <row r="612" ht="15.75" customHeight="1">
      <c r="B612" s="11"/>
      <c r="E612" s="11"/>
      <c r="F612" s="11"/>
    </row>
    <row r="613" ht="15.75" customHeight="1">
      <c r="B613" s="11"/>
      <c r="E613" s="11"/>
      <c r="F613" s="11"/>
    </row>
    <row r="614" ht="15.75" customHeight="1">
      <c r="B614" s="11"/>
      <c r="E614" s="11"/>
      <c r="F614" s="11"/>
    </row>
    <row r="615" ht="15.75" customHeight="1">
      <c r="B615" s="11"/>
      <c r="E615" s="11"/>
      <c r="F615" s="11"/>
    </row>
    <row r="616" ht="15.75" customHeight="1">
      <c r="B616" s="11"/>
      <c r="E616" s="11"/>
      <c r="F616" s="11"/>
    </row>
    <row r="617" ht="15.75" customHeight="1">
      <c r="B617" s="11"/>
      <c r="E617" s="11"/>
      <c r="F617" s="11"/>
    </row>
    <row r="618" ht="15.75" customHeight="1">
      <c r="B618" s="11"/>
      <c r="E618" s="11"/>
      <c r="F618" s="11"/>
    </row>
    <row r="619" ht="15.75" customHeight="1">
      <c r="B619" s="11"/>
      <c r="E619" s="11"/>
      <c r="F619" s="11"/>
    </row>
    <row r="620" ht="15.75" customHeight="1">
      <c r="B620" s="11"/>
      <c r="E620" s="11"/>
      <c r="F620" s="11"/>
    </row>
    <row r="621" ht="15.75" customHeight="1">
      <c r="B621" s="11"/>
      <c r="E621" s="11"/>
      <c r="F621" s="11"/>
    </row>
    <row r="622" ht="15.75" customHeight="1">
      <c r="B622" s="11"/>
      <c r="E622" s="11"/>
      <c r="F622" s="11"/>
    </row>
    <row r="623" ht="15.75" customHeight="1">
      <c r="B623" s="11"/>
      <c r="E623" s="11"/>
      <c r="F623" s="11"/>
    </row>
    <row r="624" ht="15.75" customHeight="1">
      <c r="B624" s="11"/>
      <c r="E624" s="11"/>
      <c r="F624" s="11"/>
    </row>
    <row r="625" ht="15.75" customHeight="1">
      <c r="B625" s="11"/>
      <c r="E625" s="11"/>
      <c r="F625" s="11"/>
    </row>
    <row r="626" ht="15.75" customHeight="1">
      <c r="B626" s="11"/>
      <c r="E626" s="11"/>
      <c r="F626" s="11"/>
    </row>
    <row r="627" ht="15.75" customHeight="1">
      <c r="B627" s="11"/>
      <c r="E627" s="11"/>
      <c r="F627" s="11"/>
    </row>
    <row r="628" ht="15.75" customHeight="1">
      <c r="B628" s="11"/>
      <c r="E628" s="11"/>
      <c r="F628" s="11"/>
    </row>
    <row r="629" ht="15.75" customHeight="1">
      <c r="B629" s="11"/>
      <c r="E629" s="11"/>
      <c r="F629" s="11"/>
    </row>
    <row r="630" ht="15.75" customHeight="1">
      <c r="B630" s="11"/>
      <c r="E630" s="11"/>
      <c r="F630" s="11"/>
    </row>
    <row r="631" ht="15.75" customHeight="1">
      <c r="B631" s="11"/>
      <c r="E631" s="11"/>
      <c r="F631" s="11"/>
    </row>
    <row r="632" ht="15.75" customHeight="1">
      <c r="B632" s="11"/>
      <c r="E632" s="11"/>
      <c r="F632" s="11"/>
    </row>
    <row r="633" ht="15.75" customHeight="1">
      <c r="B633" s="11"/>
      <c r="E633" s="11"/>
      <c r="F633" s="11"/>
    </row>
    <row r="634" ht="15.75" customHeight="1">
      <c r="B634" s="11"/>
      <c r="E634" s="11"/>
      <c r="F634" s="11"/>
    </row>
    <row r="635" ht="15.75" customHeight="1">
      <c r="B635" s="11"/>
      <c r="E635" s="11"/>
      <c r="F635" s="11"/>
    </row>
    <row r="636" ht="15.75" customHeight="1">
      <c r="B636" s="11"/>
      <c r="E636" s="11"/>
      <c r="F636" s="11"/>
    </row>
    <row r="637" ht="15.75" customHeight="1">
      <c r="B637" s="11"/>
      <c r="E637" s="11"/>
      <c r="F637" s="11"/>
    </row>
    <row r="638" ht="15.75" customHeight="1">
      <c r="B638" s="11"/>
      <c r="E638" s="11"/>
      <c r="F638" s="11"/>
    </row>
    <row r="639" ht="15.75" customHeight="1">
      <c r="B639" s="11"/>
      <c r="E639" s="11"/>
      <c r="F639" s="11"/>
    </row>
    <row r="640" ht="15.75" customHeight="1">
      <c r="B640" s="11"/>
      <c r="E640" s="11"/>
      <c r="F640" s="11"/>
    </row>
    <row r="641" ht="15.75" customHeight="1">
      <c r="B641" s="11"/>
      <c r="E641" s="11"/>
      <c r="F641" s="11"/>
    </row>
    <row r="642" ht="15.75" customHeight="1">
      <c r="B642" s="11"/>
      <c r="E642" s="11"/>
      <c r="F642" s="11"/>
    </row>
    <row r="643" ht="15.75" customHeight="1">
      <c r="B643" s="11"/>
      <c r="E643" s="11"/>
      <c r="F643" s="11"/>
    </row>
    <row r="644" ht="15.75" customHeight="1">
      <c r="B644" s="11"/>
      <c r="E644" s="11"/>
      <c r="F644" s="11"/>
    </row>
    <row r="645" ht="15.75" customHeight="1">
      <c r="B645" s="11"/>
      <c r="E645" s="11"/>
      <c r="F645" s="11"/>
    </row>
    <row r="646" ht="15.75" customHeight="1">
      <c r="B646" s="11"/>
      <c r="E646" s="11"/>
      <c r="F646" s="11"/>
    </row>
    <row r="647" ht="15.75" customHeight="1">
      <c r="B647" s="11"/>
      <c r="E647" s="11"/>
      <c r="F647" s="11"/>
    </row>
    <row r="648" ht="15.75" customHeight="1">
      <c r="B648" s="11"/>
      <c r="E648" s="11"/>
      <c r="F648" s="11"/>
    </row>
    <row r="649" ht="15.75" customHeight="1">
      <c r="B649" s="11"/>
      <c r="E649" s="11"/>
      <c r="F649" s="11"/>
    </row>
    <row r="650" ht="15.75" customHeight="1">
      <c r="B650" s="11"/>
      <c r="E650" s="11"/>
      <c r="F650" s="11"/>
    </row>
    <row r="651" ht="15.75" customHeight="1">
      <c r="B651" s="11"/>
      <c r="E651" s="11"/>
      <c r="F651" s="11"/>
    </row>
    <row r="652" ht="15.75" customHeight="1">
      <c r="B652" s="11"/>
      <c r="E652" s="11"/>
      <c r="F652" s="11"/>
    </row>
    <row r="653" ht="15.75" customHeight="1">
      <c r="B653" s="11"/>
      <c r="E653" s="11"/>
      <c r="F653" s="11"/>
    </row>
    <row r="654" ht="15.75" customHeight="1">
      <c r="B654" s="11"/>
      <c r="E654" s="11"/>
      <c r="F654" s="11"/>
    </row>
    <row r="655" ht="15.75" customHeight="1">
      <c r="B655" s="11"/>
      <c r="E655" s="11"/>
      <c r="F655" s="11"/>
    </row>
    <row r="656" ht="15.75" customHeight="1">
      <c r="B656" s="11"/>
      <c r="E656" s="11"/>
      <c r="F656" s="11"/>
    </row>
    <row r="657" ht="15.75" customHeight="1">
      <c r="B657" s="11"/>
      <c r="E657" s="11"/>
      <c r="F657" s="11"/>
    </row>
    <row r="658" ht="15.75" customHeight="1">
      <c r="B658" s="11"/>
      <c r="E658" s="11"/>
      <c r="F658" s="11"/>
    </row>
    <row r="659" ht="15.75" customHeight="1">
      <c r="B659" s="11"/>
      <c r="E659" s="11"/>
      <c r="F659" s="11"/>
    </row>
    <row r="660" ht="15.75" customHeight="1">
      <c r="B660" s="11"/>
      <c r="E660" s="11"/>
      <c r="F660" s="11"/>
    </row>
    <row r="661" ht="15.75" customHeight="1">
      <c r="B661" s="11"/>
      <c r="E661" s="11"/>
      <c r="F661" s="11"/>
    </row>
    <row r="662" ht="15.75" customHeight="1">
      <c r="B662" s="11"/>
      <c r="E662" s="11"/>
      <c r="F662" s="11"/>
    </row>
    <row r="663" ht="15.75" customHeight="1">
      <c r="B663" s="11"/>
      <c r="E663" s="11"/>
      <c r="F663" s="11"/>
    </row>
    <row r="664" ht="15.75" customHeight="1">
      <c r="B664" s="11"/>
      <c r="E664" s="11"/>
      <c r="F664" s="11"/>
    </row>
    <row r="665" ht="15.75" customHeight="1">
      <c r="B665" s="11"/>
      <c r="E665" s="11"/>
      <c r="F665" s="11"/>
    </row>
    <row r="666" ht="15.75" customHeight="1">
      <c r="B666" s="11"/>
      <c r="E666" s="11"/>
      <c r="F666" s="11"/>
    </row>
    <row r="667" ht="15.75" customHeight="1">
      <c r="B667" s="11"/>
      <c r="E667" s="11"/>
      <c r="F667" s="11"/>
    </row>
    <row r="668" ht="15.75" customHeight="1">
      <c r="B668" s="11"/>
      <c r="E668" s="11"/>
      <c r="F668" s="11"/>
    </row>
    <row r="669" ht="15.75" customHeight="1">
      <c r="B669" s="11"/>
      <c r="E669" s="11"/>
      <c r="F669" s="11"/>
    </row>
    <row r="670" ht="15.75" customHeight="1">
      <c r="B670" s="11"/>
      <c r="E670" s="11"/>
      <c r="F670" s="11"/>
    </row>
    <row r="671" ht="15.75" customHeight="1">
      <c r="B671" s="11"/>
      <c r="E671" s="11"/>
      <c r="F671" s="11"/>
    </row>
    <row r="672" ht="15.75" customHeight="1">
      <c r="B672" s="11"/>
      <c r="E672" s="11"/>
      <c r="F672" s="11"/>
    </row>
    <row r="673" ht="15.75" customHeight="1">
      <c r="B673" s="11"/>
      <c r="E673" s="11"/>
      <c r="F673" s="11"/>
    </row>
    <row r="674" ht="15.75" customHeight="1">
      <c r="B674" s="11"/>
      <c r="E674" s="11"/>
      <c r="F674" s="11"/>
    </row>
    <row r="675" ht="15.75" customHeight="1">
      <c r="B675" s="11"/>
      <c r="E675" s="11"/>
      <c r="F675" s="11"/>
    </row>
    <row r="676" ht="15.75" customHeight="1">
      <c r="B676" s="11"/>
      <c r="E676" s="11"/>
      <c r="F676" s="11"/>
    </row>
    <row r="677" ht="15.75" customHeight="1">
      <c r="B677" s="11"/>
      <c r="E677" s="11"/>
      <c r="F677" s="11"/>
    </row>
    <row r="678" ht="15.75" customHeight="1">
      <c r="B678" s="11"/>
      <c r="E678" s="11"/>
      <c r="F678" s="11"/>
    </row>
    <row r="679" ht="15.75" customHeight="1">
      <c r="B679" s="11"/>
      <c r="E679" s="11"/>
      <c r="F679" s="11"/>
    </row>
    <row r="680" ht="15.75" customHeight="1">
      <c r="B680" s="11"/>
      <c r="E680" s="11"/>
      <c r="F680" s="11"/>
    </row>
    <row r="681" ht="15.75" customHeight="1">
      <c r="B681" s="11"/>
      <c r="E681" s="11"/>
      <c r="F681" s="11"/>
    </row>
    <row r="682" ht="15.75" customHeight="1">
      <c r="B682" s="11"/>
      <c r="E682" s="11"/>
      <c r="F682" s="11"/>
    </row>
    <row r="683" ht="15.75" customHeight="1">
      <c r="B683" s="11"/>
      <c r="E683" s="11"/>
      <c r="F683" s="11"/>
    </row>
    <row r="684" ht="15.75" customHeight="1">
      <c r="B684" s="11"/>
      <c r="E684" s="11"/>
      <c r="F684" s="11"/>
    </row>
    <row r="685" ht="15.75" customHeight="1">
      <c r="B685" s="11"/>
      <c r="E685" s="11"/>
      <c r="F685" s="11"/>
    </row>
    <row r="686" ht="15.75" customHeight="1">
      <c r="B686" s="11"/>
      <c r="E686" s="11"/>
      <c r="F686" s="11"/>
    </row>
    <row r="687" ht="15.75" customHeight="1">
      <c r="B687" s="11"/>
      <c r="E687" s="11"/>
      <c r="F687" s="11"/>
    </row>
    <row r="688" ht="15.75" customHeight="1">
      <c r="B688" s="11"/>
      <c r="E688" s="11"/>
      <c r="F688" s="11"/>
    </row>
    <row r="689" ht="15.75" customHeight="1">
      <c r="B689" s="11"/>
      <c r="E689" s="11"/>
      <c r="F689" s="11"/>
    </row>
    <row r="690" ht="15.75" customHeight="1">
      <c r="B690" s="11"/>
      <c r="E690" s="11"/>
      <c r="F690" s="11"/>
    </row>
    <row r="691" ht="15.75" customHeight="1">
      <c r="B691" s="11"/>
      <c r="E691" s="11"/>
      <c r="F691" s="11"/>
    </row>
    <row r="692" ht="15.75" customHeight="1">
      <c r="B692" s="11"/>
      <c r="E692" s="11"/>
      <c r="F692" s="11"/>
    </row>
    <row r="693" ht="15.75" customHeight="1">
      <c r="B693" s="11"/>
      <c r="E693" s="11"/>
      <c r="F693" s="11"/>
    </row>
    <row r="694" ht="15.75" customHeight="1">
      <c r="B694" s="11"/>
      <c r="E694" s="11"/>
      <c r="F694" s="11"/>
    </row>
    <row r="695" ht="15.75" customHeight="1">
      <c r="B695" s="11"/>
      <c r="E695" s="11"/>
      <c r="F695" s="11"/>
    </row>
    <row r="696" ht="15.75" customHeight="1">
      <c r="B696" s="11"/>
      <c r="E696" s="11"/>
      <c r="F696" s="11"/>
    </row>
    <row r="697" ht="15.75" customHeight="1">
      <c r="B697" s="11"/>
      <c r="E697" s="11"/>
      <c r="F697" s="11"/>
    </row>
    <row r="698" ht="15.75" customHeight="1">
      <c r="B698" s="11"/>
      <c r="E698" s="11"/>
      <c r="F698" s="11"/>
    </row>
    <row r="699" ht="15.75" customHeight="1">
      <c r="B699" s="11"/>
      <c r="E699" s="11"/>
      <c r="F699" s="11"/>
    </row>
    <row r="700" ht="15.75" customHeight="1">
      <c r="B700" s="11"/>
      <c r="E700" s="11"/>
      <c r="F700" s="11"/>
    </row>
    <row r="701" ht="15.75" customHeight="1">
      <c r="B701" s="11"/>
      <c r="E701" s="11"/>
      <c r="F701" s="11"/>
    </row>
    <row r="702" ht="15.75" customHeight="1">
      <c r="B702" s="11"/>
      <c r="E702" s="11"/>
      <c r="F702" s="11"/>
    </row>
    <row r="703" ht="15.75" customHeight="1">
      <c r="B703" s="11"/>
      <c r="E703" s="11"/>
      <c r="F703" s="11"/>
    </row>
    <row r="704" ht="15.75" customHeight="1">
      <c r="B704" s="11"/>
      <c r="E704" s="11"/>
      <c r="F704" s="11"/>
    </row>
    <row r="705" ht="15.75" customHeight="1">
      <c r="B705" s="11"/>
      <c r="E705" s="11"/>
      <c r="F705" s="11"/>
    </row>
    <row r="706" ht="15.75" customHeight="1">
      <c r="B706" s="11"/>
      <c r="E706" s="11"/>
      <c r="F706" s="11"/>
    </row>
    <row r="707" ht="15.75" customHeight="1">
      <c r="B707" s="11"/>
      <c r="E707" s="11"/>
      <c r="F707" s="11"/>
    </row>
    <row r="708" ht="15.75" customHeight="1">
      <c r="B708" s="11"/>
      <c r="E708" s="11"/>
      <c r="F708" s="11"/>
    </row>
    <row r="709" ht="15.75" customHeight="1">
      <c r="B709" s="11"/>
      <c r="E709" s="11"/>
      <c r="F709" s="11"/>
    </row>
    <row r="710" ht="15.75" customHeight="1">
      <c r="B710" s="11"/>
      <c r="E710" s="11"/>
      <c r="F710" s="11"/>
    </row>
    <row r="711" ht="15.75" customHeight="1">
      <c r="B711" s="11"/>
      <c r="E711" s="11"/>
      <c r="F711" s="11"/>
    </row>
    <row r="712" ht="15.75" customHeight="1">
      <c r="B712" s="11"/>
      <c r="E712" s="11"/>
      <c r="F712" s="11"/>
    </row>
    <row r="713" ht="15.75" customHeight="1">
      <c r="B713" s="11"/>
      <c r="E713" s="11"/>
      <c r="F713" s="11"/>
    </row>
    <row r="714" ht="15.75" customHeight="1">
      <c r="B714" s="11"/>
      <c r="E714" s="11"/>
      <c r="F714" s="11"/>
    </row>
    <row r="715" ht="15.75" customHeight="1">
      <c r="B715" s="11"/>
      <c r="E715" s="11"/>
      <c r="F715" s="11"/>
    </row>
    <row r="716" ht="15.75" customHeight="1">
      <c r="B716" s="11"/>
      <c r="E716" s="11"/>
      <c r="F716" s="11"/>
    </row>
    <row r="717" ht="15.75" customHeight="1">
      <c r="B717" s="11"/>
      <c r="E717" s="11"/>
      <c r="F717" s="11"/>
    </row>
    <row r="718" ht="15.75" customHeight="1">
      <c r="B718" s="11"/>
      <c r="E718" s="11"/>
      <c r="F718" s="11"/>
    </row>
    <row r="719" ht="15.75" customHeight="1">
      <c r="B719" s="11"/>
      <c r="E719" s="11"/>
      <c r="F719" s="11"/>
    </row>
    <row r="720" ht="15.75" customHeight="1">
      <c r="B720" s="11"/>
      <c r="E720" s="11"/>
      <c r="F720" s="11"/>
    </row>
    <row r="721" ht="15.75" customHeight="1">
      <c r="B721" s="11"/>
      <c r="E721" s="11"/>
      <c r="F721" s="11"/>
    </row>
    <row r="722" ht="15.75" customHeight="1">
      <c r="B722" s="11"/>
      <c r="E722" s="11"/>
      <c r="F722" s="11"/>
    </row>
    <row r="723" ht="15.75" customHeight="1">
      <c r="B723" s="11"/>
      <c r="E723" s="11"/>
      <c r="F723" s="11"/>
    </row>
    <row r="724" ht="15.75" customHeight="1">
      <c r="B724" s="11"/>
      <c r="E724" s="11"/>
      <c r="F724" s="11"/>
    </row>
    <row r="725" ht="15.75" customHeight="1">
      <c r="B725" s="11"/>
      <c r="E725" s="11"/>
      <c r="F725" s="11"/>
    </row>
    <row r="726" ht="15.75" customHeight="1">
      <c r="B726" s="11"/>
      <c r="E726" s="11"/>
      <c r="F726" s="11"/>
    </row>
    <row r="727" ht="15.75" customHeight="1">
      <c r="B727" s="11"/>
      <c r="E727" s="11"/>
      <c r="F727" s="11"/>
    </row>
    <row r="728" ht="15.75" customHeight="1">
      <c r="B728" s="11"/>
      <c r="E728" s="11"/>
      <c r="F728" s="11"/>
    </row>
    <row r="729" ht="15.75" customHeight="1">
      <c r="B729" s="11"/>
      <c r="E729" s="11"/>
      <c r="F729" s="11"/>
    </row>
    <row r="730" ht="15.75" customHeight="1">
      <c r="B730" s="11"/>
      <c r="E730" s="11"/>
      <c r="F730" s="11"/>
    </row>
    <row r="731" ht="15.75" customHeight="1">
      <c r="B731" s="11"/>
      <c r="E731" s="11"/>
      <c r="F731" s="11"/>
    </row>
    <row r="732" ht="15.75" customHeight="1">
      <c r="B732" s="11"/>
      <c r="E732" s="11"/>
      <c r="F732" s="11"/>
    </row>
    <row r="733" ht="15.75" customHeight="1">
      <c r="B733" s="11"/>
      <c r="E733" s="11"/>
      <c r="F733" s="11"/>
    </row>
    <row r="734" ht="15.75" customHeight="1">
      <c r="B734" s="11"/>
      <c r="E734" s="11"/>
      <c r="F734" s="11"/>
    </row>
    <row r="735" ht="15.75" customHeight="1">
      <c r="B735" s="11"/>
      <c r="E735" s="11"/>
      <c r="F735" s="11"/>
    </row>
    <row r="736" ht="15.75" customHeight="1">
      <c r="B736" s="11"/>
      <c r="E736" s="11"/>
      <c r="F736" s="11"/>
    </row>
    <row r="737" ht="15.75" customHeight="1">
      <c r="B737" s="11"/>
      <c r="E737" s="11"/>
      <c r="F737" s="11"/>
    </row>
    <row r="738" ht="15.75" customHeight="1">
      <c r="B738" s="11"/>
      <c r="E738" s="11"/>
      <c r="F738" s="11"/>
    </row>
    <row r="739" ht="15.75" customHeight="1">
      <c r="B739" s="11"/>
      <c r="E739" s="11"/>
      <c r="F739" s="11"/>
    </row>
    <row r="740" ht="15.75" customHeight="1">
      <c r="B740" s="11"/>
      <c r="E740" s="11"/>
      <c r="F740" s="11"/>
    </row>
    <row r="741" ht="15.75" customHeight="1">
      <c r="B741" s="11"/>
      <c r="E741" s="11"/>
      <c r="F741" s="11"/>
    </row>
    <row r="742" ht="15.75" customHeight="1">
      <c r="B742" s="11"/>
      <c r="E742" s="11"/>
      <c r="F742" s="11"/>
    </row>
    <row r="743" ht="15.75" customHeight="1">
      <c r="B743" s="11"/>
      <c r="E743" s="11"/>
      <c r="F743" s="11"/>
    </row>
    <row r="744" ht="15.75" customHeight="1">
      <c r="B744" s="11"/>
      <c r="E744" s="11"/>
      <c r="F744" s="11"/>
    </row>
    <row r="745" ht="15.75" customHeight="1">
      <c r="B745" s="11"/>
      <c r="E745" s="11"/>
      <c r="F745" s="11"/>
    </row>
    <row r="746" ht="15.75" customHeight="1">
      <c r="B746" s="11"/>
      <c r="E746" s="11"/>
      <c r="F746" s="11"/>
    </row>
    <row r="747" ht="15.75" customHeight="1">
      <c r="B747" s="11"/>
      <c r="E747" s="11"/>
      <c r="F747" s="11"/>
    </row>
    <row r="748" ht="15.75" customHeight="1">
      <c r="B748" s="11"/>
      <c r="E748" s="11"/>
      <c r="F748" s="11"/>
    </row>
    <row r="749" ht="15.75" customHeight="1">
      <c r="B749" s="11"/>
      <c r="E749" s="11"/>
      <c r="F749" s="11"/>
    </row>
    <row r="750" ht="15.75" customHeight="1">
      <c r="B750" s="11"/>
      <c r="E750" s="11"/>
      <c r="F750" s="11"/>
    </row>
    <row r="751" ht="15.75" customHeight="1">
      <c r="B751" s="11"/>
      <c r="E751" s="11"/>
      <c r="F751" s="11"/>
    </row>
    <row r="752" ht="15.75" customHeight="1">
      <c r="B752" s="11"/>
      <c r="E752" s="11"/>
      <c r="F752" s="11"/>
    </row>
    <row r="753" ht="15.75" customHeight="1">
      <c r="B753" s="11"/>
      <c r="E753" s="11"/>
      <c r="F753" s="11"/>
    </row>
    <row r="754" ht="15.75" customHeight="1">
      <c r="B754" s="11"/>
      <c r="E754" s="11"/>
      <c r="F754" s="11"/>
    </row>
    <row r="755" ht="15.75" customHeight="1">
      <c r="B755" s="11"/>
      <c r="E755" s="11"/>
      <c r="F755" s="11"/>
    </row>
    <row r="756" ht="15.75" customHeight="1">
      <c r="B756" s="11"/>
      <c r="E756" s="11"/>
      <c r="F756" s="11"/>
    </row>
    <row r="757" ht="15.75" customHeight="1">
      <c r="B757" s="11"/>
      <c r="E757" s="11"/>
      <c r="F757" s="11"/>
    </row>
    <row r="758" ht="15.75" customHeight="1">
      <c r="B758" s="11"/>
      <c r="E758" s="11"/>
      <c r="F758" s="11"/>
    </row>
    <row r="759" ht="15.75" customHeight="1">
      <c r="B759" s="11"/>
      <c r="E759" s="11"/>
      <c r="F759" s="11"/>
    </row>
    <row r="760" ht="15.75" customHeight="1">
      <c r="B760" s="11"/>
      <c r="E760" s="11"/>
      <c r="F760" s="11"/>
    </row>
    <row r="761" ht="15.75" customHeight="1">
      <c r="B761" s="11"/>
      <c r="E761" s="11"/>
      <c r="F761" s="11"/>
    </row>
    <row r="762" ht="15.75" customHeight="1">
      <c r="B762" s="11"/>
      <c r="E762" s="11"/>
      <c r="F762" s="11"/>
    </row>
    <row r="763" ht="15.75" customHeight="1">
      <c r="B763" s="11"/>
      <c r="E763" s="11"/>
      <c r="F763" s="11"/>
    </row>
    <row r="764" ht="15.75" customHeight="1">
      <c r="B764" s="11"/>
      <c r="E764" s="11"/>
      <c r="F764" s="11"/>
    </row>
    <row r="765" ht="15.75" customHeight="1">
      <c r="B765" s="11"/>
      <c r="E765" s="11"/>
      <c r="F765" s="11"/>
    </row>
    <row r="766" ht="15.75" customHeight="1">
      <c r="B766" s="11"/>
      <c r="E766" s="11"/>
      <c r="F766" s="11"/>
    </row>
    <row r="767" ht="15.75" customHeight="1">
      <c r="B767" s="11"/>
      <c r="E767" s="11"/>
      <c r="F767" s="11"/>
    </row>
    <row r="768" ht="15.75" customHeight="1">
      <c r="B768" s="11"/>
      <c r="E768" s="11"/>
      <c r="F768" s="11"/>
    </row>
    <row r="769" ht="15.75" customHeight="1">
      <c r="B769" s="11"/>
      <c r="E769" s="11"/>
      <c r="F769" s="11"/>
    </row>
    <row r="770" ht="15.75" customHeight="1">
      <c r="B770" s="11"/>
      <c r="E770" s="11"/>
      <c r="F770" s="11"/>
    </row>
    <row r="771" ht="15.75" customHeight="1">
      <c r="B771" s="11"/>
      <c r="E771" s="11"/>
      <c r="F771" s="11"/>
    </row>
    <row r="772" ht="15.75" customHeight="1">
      <c r="B772" s="11"/>
      <c r="E772" s="11"/>
      <c r="F772" s="11"/>
    </row>
    <row r="773" ht="15.75" customHeight="1">
      <c r="B773" s="11"/>
      <c r="E773" s="11"/>
      <c r="F773" s="11"/>
    </row>
    <row r="774" ht="15.75" customHeight="1">
      <c r="B774" s="11"/>
      <c r="E774" s="11"/>
      <c r="F774" s="11"/>
    </row>
    <row r="775" ht="15.75" customHeight="1">
      <c r="B775" s="11"/>
      <c r="E775" s="11"/>
      <c r="F775" s="11"/>
    </row>
    <row r="776" ht="15.75" customHeight="1">
      <c r="B776" s="11"/>
      <c r="E776" s="11"/>
      <c r="F776" s="11"/>
    </row>
    <row r="777" ht="15.75" customHeight="1">
      <c r="B777" s="11"/>
      <c r="E777" s="11"/>
      <c r="F777" s="11"/>
    </row>
    <row r="778" ht="15.75" customHeight="1">
      <c r="B778" s="11"/>
      <c r="E778" s="11"/>
      <c r="F778" s="11"/>
    </row>
    <row r="779" ht="15.75" customHeight="1">
      <c r="B779" s="11"/>
      <c r="E779" s="11"/>
      <c r="F779" s="11"/>
    </row>
    <row r="780" ht="15.75" customHeight="1">
      <c r="B780" s="11"/>
      <c r="E780" s="11"/>
      <c r="F780" s="11"/>
    </row>
    <row r="781" ht="15.75" customHeight="1">
      <c r="B781" s="11"/>
      <c r="E781" s="11"/>
      <c r="F781" s="11"/>
    </row>
    <row r="782" ht="15.75" customHeight="1">
      <c r="B782" s="11"/>
      <c r="E782" s="11"/>
      <c r="F782" s="11"/>
    </row>
    <row r="783" ht="15.75" customHeight="1">
      <c r="B783" s="11"/>
      <c r="E783" s="11"/>
      <c r="F783" s="11"/>
    </row>
    <row r="784" ht="15.75" customHeight="1">
      <c r="B784" s="11"/>
      <c r="E784" s="11"/>
      <c r="F784" s="11"/>
    </row>
    <row r="785" ht="15.75" customHeight="1">
      <c r="B785" s="11"/>
      <c r="E785" s="11"/>
      <c r="F785" s="11"/>
    </row>
    <row r="786" ht="15.75" customHeight="1">
      <c r="B786" s="11"/>
      <c r="E786" s="11"/>
      <c r="F786" s="11"/>
    </row>
    <row r="787" ht="15.75" customHeight="1">
      <c r="B787" s="11"/>
      <c r="E787" s="11"/>
      <c r="F787" s="11"/>
    </row>
    <row r="788" ht="15.75" customHeight="1">
      <c r="B788" s="11"/>
      <c r="E788" s="11"/>
      <c r="F788" s="11"/>
    </row>
    <row r="789" ht="15.75" customHeight="1">
      <c r="B789" s="11"/>
      <c r="E789" s="11"/>
      <c r="F789" s="11"/>
    </row>
    <row r="790" ht="15.75" customHeight="1">
      <c r="B790" s="11"/>
      <c r="E790" s="11"/>
      <c r="F790" s="11"/>
    </row>
    <row r="791" ht="15.75" customHeight="1">
      <c r="B791" s="11"/>
      <c r="E791" s="11"/>
      <c r="F791" s="11"/>
    </row>
    <row r="792" ht="15.75" customHeight="1">
      <c r="B792" s="11"/>
      <c r="E792" s="11"/>
      <c r="F792" s="11"/>
    </row>
    <row r="793" ht="15.75" customHeight="1">
      <c r="B793" s="11"/>
      <c r="E793" s="11"/>
      <c r="F793" s="11"/>
    </row>
    <row r="794" ht="15.75" customHeight="1">
      <c r="B794" s="11"/>
      <c r="E794" s="11"/>
      <c r="F794" s="11"/>
    </row>
    <row r="795" ht="15.75" customHeight="1">
      <c r="B795" s="11"/>
      <c r="E795" s="11"/>
      <c r="F795" s="11"/>
    </row>
    <row r="796" ht="15.75" customHeight="1">
      <c r="B796" s="11"/>
      <c r="E796" s="11"/>
      <c r="F796" s="11"/>
    </row>
    <row r="797" ht="15.75" customHeight="1">
      <c r="B797" s="11"/>
      <c r="E797" s="11"/>
      <c r="F797" s="11"/>
    </row>
    <row r="798" ht="15.75" customHeight="1">
      <c r="B798" s="11"/>
      <c r="E798" s="11"/>
      <c r="F798" s="11"/>
    </row>
    <row r="799" ht="15.75" customHeight="1">
      <c r="B799" s="11"/>
      <c r="E799" s="11"/>
      <c r="F799" s="11"/>
    </row>
    <row r="800" ht="15.75" customHeight="1">
      <c r="B800" s="11"/>
      <c r="E800" s="11"/>
      <c r="F800" s="11"/>
    </row>
    <row r="801" ht="15.75" customHeight="1">
      <c r="B801" s="11"/>
      <c r="E801" s="11"/>
      <c r="F801" s="11"/>
    </row>
    <row r="802" ht="15.75" customHeight="1">
      <c r="B802" s="11"/>
      <c r="E802" s="11"/>
      <c r="F802" s="11"/>
    </row>
    <row r="803" ht="15.75" customHeight="1">
      <c r="B803" s="11"/>
      <c r="E803" s="11"/>
      <c r="F803" s="11"/>
    </row>
    <row r="804" ht="15.75" customHeight="1">
      <c r="B804" s="11"/>
      <c r="E804" s="11"/>
      <c r="F804" s="11"/>
    </row>
    <row r="805" ht="15.75" customHeight="1">
      <c r="B805" s="11"/>
      <c r="E805" s="11"/>
      <c r="F805" s="11"/>
    </row>
    <row r="806" ht="15.75" customHeight="1">
      <c r="B806" s="11"/>
      <c r="E806" s="11"/>
      <c r="F806" s="11"/>
    </row>
    <row r="807" ht="15.75" customHeight="1">
      <c r="B807" s="11"/>
      <c r="E807" s="11"/>
      <c r="F807" s="11"/>
    </row>
    <row r="808" ht="15.75" customHeight="1">
      <c r="B808" s="11"/>
      <c r="E808" s="11"/>
      <c r="F808" s="11"/>
    </row>
    <row r="809" ht="15.75" customHeight="1">
      <c r="B809" s="11"/>
      <c r="E809" s="11"/>
      <c r="F809" s="11"/>
    </row>
    <row r="810" ht="15.75" customHeight="1">
      <c r="B810" s="11"/>
      <c r="E810" s="11"/>
      <c r="F810" s="11"/>
    </row>
    <row r="811" ht="15.75" customHeight="1">
      <c r="B811" s="11"/>
      <c r="E811" s="11"/>
      <c r="F811" s="11"/>
    </row>
    <row r="812" ht="15.75" customHeight="1">
      <c r="B812" s="11"/>
      <c r="E812" s="11"/>
      <c r="F812" s="11"/>
    </row>
    <row r="813" ht="15.75" customHeight="1">
      <c r="B813" s="11"/>
      <c r="E813" s="11"/>
      <c r="F813" s="11"/>
    </row>
    <row r="814" ht="15.75" customHeight="1">
      <c r="B814" s="11"/>
      <c r="E814" s="11"/>
      <c r="F814" s="11"/>
    </row>
    <row r="815" ht="15.75" customHeight="1">
      <c r="B815" s="11"/>
      <c r="E815" s="11"/>
      <c r="F815" s="11"/>
    </row>
    <row r="816" ht="15.75" customHeight="1">
      <c r="B816" s="11"/>
      <c r="E816" s="11"/>
      <c r="F816" s="11"/>
    </row>
    <row r="817" ht="15.75" customHeight="1">
      <c r="B817" s="11"/>
      <c r="E817" s="11"/>
      <c r="F817" s="11"/>
    </row>
    <row r="818" ht="15.75" customHeight="1">
      <c r="B818" s="11"/>
      <c r="E818" s="11"/>
      <c r="F818" s="11"/>
    </row>
    <row r="819" ht="15.75" customHeight="1">
      <c r="B819" s="11"/>
      <c r="E819" s="11"/>
      <c r="F819" s="11"/>
    </row>
    <row r="820" ht="15.75" customHeight="1">
      <c r="B820" s="11"/>
      <c r="E820" s="11"/>
      <c r="F820" s="11"/>
    </row>
    <row r="821" ht="15.75" customHeight="1">
      <c r="B821" s="11"/>
      <c r="E821" s="11"/>
      <c r="F821" s="11"/>
    </row>
    <row r="822" ht="15.75" customHeight="1">
      <c r="B822" s="11"/>
      <c r="E822" s="11"/>
      <c r="F822" s="11"/>
    </row>
    <row r="823" ht="15.75" customHeight="1">
      <c r="B823" s="11"/>
      <c r="E823" s="11"/>
      <c r="F823" s="11"/>
    </row>
    <row r="824" ht="15.75" customHeight="1">
      <c r="B824" s="11"/>
      <c r="E824" s="11"/>
      <c r="F824" s="11"/>
    </row>
    <row r="825" ht="15.75" customHeight="1">
      <c r="B825" s="11"/>
      <c r="E825" s="11"/>
      <c r="F825" s="11"/>
    </row>
    <row r="826" ht="15.75" customHeight="1">
      <c r="B826" s="11"/>
      <c r="E826" s="11"/>
      <c r="F826" s="11"/>
    </row>
    <row r="827" ht="15.75" customHeight="1">
      <c r="B827" s="11"/>
      <c r="E827" s="11"/>
      <c r="F827" s="11"/>
    </row>
    <row r="828" ht="15.75" customHeight="1">
      <c r="B828" s="11"/>
      <c r="E828" s="11"/>
      <c r="F828" s="11"/>
    </row>
    <row r="829" ht="15.75" customHeight="1">
      <c r="B829" s="11"/>
      <c r="E829" s="11"/>
      <c r="F829" s="11"/>
    </row>
    <row r="830" ht="15.75" customHeight="1">
      <c r="B830" s="11"/>
      <c r="E830" s="11"/>
      <c r="F830" s="11"/>
    </row>
    <row r="831" ht="15.75" customHeight="1">
      <c r="B831" s="11"/>
      <c r="E831" s="11"/>
      <c r="F831" s="11"/>
    </row>
    <row r="832" ht="15.75" customHeight="1">
      <c r="B832" s="11"/>
      <c r="E832" s="11"/>
      <c r="F832" s="11"/>
    </row>
    <row r="833" ht="15.75" customHeight="1">
      <c r="B833" s="11"/>
      <c r="E833" s="11"/>
      <c r="F833" s="11"/>
    </row>
    <row r="834" ht="15.75" customHeight="1">
      <c r="B834" s="11"/>
      <c r="E834" s="11"/>
      <c r="F834" s="11"/>
    </row>
    <row r="835" ht="15.75" customHeight="1">
      <c r="B835" s="11"/>
      <c r="E835" s="11"/>
      <c r="F835" s="11"/>
    </row>
    <row r="836" ht="15.75" customHeight="1">
      <c r="B836" s="11"/>
      <c r="E836" s="11"/>
      <c r="F836" s="11"/>
    </row>
    <row r="837" ht="15.75" customHeight="1">
      <c r="B837" s="11"/>
      <c r="E837" s="11"/>
      <c r="F837" s="11"/>
    </row>
    <row r="838" ht="15.75" customHeight="1">
      <c r="B838" s="11"/>
      <c r="E838" s="11"/>
      <c r="F838" s="11"/>
    </row>
    <row r="839" ht="15.75" customHeight="1">
      <c r="B839" s="11"/>
      <c r="E839" s="11"/>
      <c r="F839" s="11"/>
    </row>
    <row r="840" ht="15.75" customHeight="1">
      <c r="B840" s="11"/>
      <c r="E840" s="11"/>
      <c r="F840" s="11"/>
    </row>
    <row r="841" ht="15.75" customHeight="1">
      <c r="B841" s="11"/>
      <c r="E841" s="11"/>
      <c r="F841" s="11"/>
    </row>
    <row r="842" ht="15.75" customHeight="1">
      <c r="B842" s="11"/>
      <c r="E842" s="11"/>
      <c r="F842" s="11"/>
    </row>
    <row r="843" ht="15.75" customHeight="1">
      <c r="B843" s="11"/>
      <c r="E843" s="11"/>
      <c r="F843" s="11"/>
    </row>
    <row r="844" ht="15.75" customHeight="1">
      <c r="B844" s="11"/>
      <c r="E844" s="11"/>
      <c r="F844" s="11"/>
    </row>
    <row r="845" ht="15.75" customHeight="1">
      <c r="B845" s="11"/>
      <c r="E845" s="11"/>
      <c r="F845" s="11"/>
    </row>
    <row r="846" ht="15.75" customHeight="1">
      <c r="B846" s="11"/>
      <c r="E846" s="11"/>
      <c r="F846" s="11"/>
    </row>
    <row r="847" ht="15.75" customHeight="1">
      <c r="B847" s="11"/>
      <c r="E847" s="11"/>
      <c r="F847" s="11"/>
    </row>
    <row r="848" ht="15.75" customHeight="1">
      <c r="B848" s="11"/>
      <c r="E848" s="11"/>
      <c r="F848" s="11"/>
    </row>
    <row r="849" ht="15.75" customHeight="1">
      <c r="B849" s="11"/>
      <c r="E849" s="11"/>
      <c r="F849" s="11"/>
    </row>
    <row r="850" ht="15.75" customHeight="1">
      <c r="B850" s="11"/>
      <c r="E850" s="11"/>
      <c r="F850" s="11"/>
    </row>
    <row r="851" ht="15.75" customHeight="1">
      <c r="B851" s="11"/>
      <c r="E851" s="11"/>
      <c r="F851" s="11"/>
    </row>
    <row r="852" ht="15.75" customHeight="1">
      <c r="B852" s="11"/>
      <c r="E852" s="11"/>
      <c r="F852" s="11"/>
    </row>
    <row r="853" ht="15.75" customHeight="1">
      <c r="B853" s="11"/>
      <c r="E853" s="11"/>
      <c r="F853" s="11"/>
    </row>
    <row r="854" ht="15.75" customHeight="1">
      <c r="B854" s="11"/>
      <c r="E854" s="11"/>
      <c r="F854" s="11"/>
    </row>
    <row r="855" ht="15.75" customHeight="1">
      <c r="B855" s="11"/>
      <c r="E855" s="11"/>
      <c r="F855" s="11"/>
    </row>
    <row r="856" ht="15.75" customHeight="1">
      <c r="B856" s="11"/>
      <c r="E856" s="11"/>
      <c r="F856" s="11"/>
    </row>
    <row r="857" ht="15.75" customHeight="1">
      <c r="B857" s="11"/>
      <c r="E857" s="11"/>
      <c r="F857" s="11"/>
    </row>
    <row r="858" ht="15.75" customHeight="1">
      <c r="B858" s="11"/>
      <c r="E858" s="11"/>
      <c r="F858" s="11"/>
    </row>
    <row r="859" ht="15.75" customHeight="1">
      <c r="B859" s="11"/>
      <c r="E859" s="11"/>
      <c r="F859" s="11"/>
    </row>
    <row r="860" ht="15.75" customHeight="1">
      <c r="B860" s="11"/>
      <c r="E860" s="11"/>
      <c r="F860" s="11"/>
    </row>
    <row r="861" ht="15.75" customHeight="1">
      <c r="B861" s="11"/>
      <c r="E861" s="11"/>
      <c r="F861" s="11"/>
    </row>
    <row r="862" ht="15.75" customHeight="1">
      <c r="B862" s="11"/>
      <c r="E862" s="11"/>
      <c r="F862" s="11"/>
    </row>
    <row r="863" ht="15.75" customHeight="1">
      <c r="B863" s="11"/>
      <c r="E863" s="11"/>
      <c r="F863" s="11"/>
    </row>
    <row r="864" ht="15.75" customHeight="1">
      <c r="B864" s="11"/>
      <c r="E864" s="11"/>
      <c r="F864" s="11"/>
    </row>
    <row r="865" ht="15.75" customHeight="1">
      <c r="B865" s="11"/>
      <c r="E865" s="11"/>
      <c r="F865" s="11"/>
    </row>
    <row r="866" ht="15.75" customHeight="1">
      <c r="B866" s="11"/>
      <c r="E866" s="11"/>
      <c r="F866" s="11"/>
    </row>
    <row r="867" ht="15.75" customHeight="1">
      <c r="B867" s="11"/>
      <c r="E867" s="11"/>
      <c r="F867" s="11"/>
    </row>
    <row r="868" ht="15.75" customHeight="1">
      <c r="B868" s="11"/>
      <c r="E868" s="11"/>
      <c r="F868" s="11"/>
    </row>
    <row r="869" ht="15.75" customHeight="1">
      <c r="B869" s="11"/>
      <c r="E869" s="11"/>
      <c r="F869" s="11"/>
    </row>
    <row r="870" ht="15.75" customHeight="1">
      <c r="B870" s="11"/>
      <c r="E870" s="11"/>
      <c r="F870" s="11"/>
    </row>
    <row r="871" ht="15.75" customHeight="1">
      <c r="B871" s="11"/>
      <c r="E871" s="11"/>
      <c r="F871" s="11"/>
    </row>
    <row r="872" ht="15.75" customHeight="1">
      <c r="B872" s="11"/>
      <c r="E872" s="11"/>
      <c r="F872" s="11"/>
    </row>
    <row r="873" ht="15.75" customHeight="1">
      <c r="B873" s="11"/>
      <c r="E873" s="11"/>
      <c r="F873" s="11"/>
    </row>
    <row r="874" ht="15.75" customHeight="1">
      <c r="B874" s="11"/>
      <c r="E874" s="11"/>
      <c r="F874" s="11"/>
    </row>
    <row r="875" ht="15.75" customHeight="1">
      <c r="B875" s="11"/>
      <c r="E875" s="11"/>
      <c r="F875" s="11"/>
    </row>
    <row r="876" ht="15.75" customHeight="1">
      <c r="B876" s="11"/>
      <c r="E876" s="11"/>
      <c r="F876" s="11"/>
    </row>
    <row r="877" ht="15.75" customHeight="1">
      <c r="B877" s="11"/>
      <c r="E877" s="11"/>
      <c r="F877" s="11"/>
    </row>
    <row r="878" ht="15.75" customHeight="1">
      <c r="B878" s="11"/>
      <c r="E878" s="11"/>
      <c r="F878" s="11"/>
    </row>
    <row r="879" ht="15.75" customHeight="1">
      <c r="B879" s="11"/>
      <c r="E879" s="11"/>
      <c r="F879" s="11"/>
    </row>
    <row r="880" ht="15.75" customHeight="1">
      <c r="B880" s="11"/>
      <c r="E880" s="11"/>
      <c r="F880" s="11"/>
    </row>
    <row r="881" ht="15.75" customHeight="1">
      <c r="B881" s="11"/>
      <c r="E881" s="11"/>
      <c r="F881" s="11"/>
    </row>
    <row r="882" ht="15.75" customHeight="1">
      <c r="B882" s="11"/>
      <c r="E882" s="11"/>
      <c r="F882" s="11"/>
    </row>
    <row r="883" ht="15.75" customHeight="1">
      <c r="B883" s="11"/>
      <c r="E883" s="11"/>
      <c r="F883" s="11"/>
    </row>
    <row r="884" ht="15.75" customHeight="1">
      <c r="B884" s="11"/>
      <c r="E884" s="11"/>
      <c r="F884" s="11"/>
    </row>
    <row r="885" ht="15.75" customHeight="1">
      <c r="B885" s="11"/>
      <c r="E885" s="11"/>
      <c r="F885" s="11"/>
    </row>
    <row r="886" ht="15.75" customHeight="1">
      <c r="B886" s="11"/>
      <c r="E886" s="11"/>
      <c r="F886" s="11"/>
    </row>
    <row r="887" ht="15.75" customHeight="1">
      <c r="B887" s="11"/>
      <c r="E887" s="11"/>
      <c r="F887" s="11"/>
    </row>
    <row r="888" ht="15.75" customHeight="1">
      <c r="B888" s="11"/>
      <c r="E888" s="11"/>
      <c r="F888" s="11"/>
    </row>
    <row r="889" ht="15.75" customHeight="1">
      <c r="B889" s="11"/>
      <c r="E889" s="11"/>
      <c r="F889" s="11"/>
    </row>
    <row r="890" ht="15.75" customHeight="1">
      <c r="B890" s="11"/>
      <c r="E890" s="11"/>
      <c r="F890" s="11"/>
    </row>
    <row r="891" ht="15.75" customHeight="1">
      <c r="B891" s="11"/>
      <c r="E891" s="11"/>
      <c r="F891" s="11"/>
    </row>
    <row r="892" ht="15.75" customHeight="1">
      <c r="B892" s="11"/>
      <c r="E892" s="11"/>
      <c r="F892" s="11"/>
    </row>
    <row r="893" ht="15.75" customHeight="1">
      <c r="B893" s="11"/>
      <c r="E893" s="11"/>
      <c r="F893" s="11"/>
    </row>
    <row r="894" ht="15.75" customHeight="1">
      <c r="B894" s="11"/>
      <c r="E894" s="11"/>
      <c r="F894" s="11"/>
    </row>
    <row r="895" ht="15.75" customHeight="1">
      <c r="B895" s="11"/>
      <c r="E895" s="11"/>
      <c r="F895" s="11"/>
    </row>
    <row r="896" ht="15.75" customHeight="1">
      <c r="B896" s="11"/>
      <c r="E896" s="11"/>
      <c r="F896" s="11"/>
    </row>
    <row r="897" ht="15.75" customHeight="1">
      <c r="B897" s="11"/>
      <c r="E897" s="11"/>
      <c r="F897" s="11"/>
    </row>
    <row r="898" ht="15.75" customHeight="1">
      <c r="B898" s="11"/>
      <c r="E898" s="11"/>
      <c r="F898" s="11"/>
    </row>
    <row r="899" ht="15.75" customHeight="1">
      <c r="B899" s="11"/>
      <c r="E899" s="11"/>
      <c r="F899" s="11"/>
    </row>
    <row r="900" ht="15.75" customHeight="1">
      <c r="B900" s="11"/>
      <c r="E900" s="11"/>
      <c r="F900" s="11"/>
    </row>
    <row r="901" ht="15.75" customHeight="1">
      <c r="B901" s="11"/>
      <c r="E901" s="11"/>
      <c r="F901" s="11"/>
    </row>
    <row r="902" ht="15.75" customHeight="1">
      <c r="B902" s="11"/>
      <c r="E902" s="11"/>
      <c r="F902" s="11"/>
    </row>
    <row r="903" ht="15.75" customHeight="1">
      <c r="B903" s="11"/>
      <c r="E903" s="11"/>
      <c r="F903" s="11"/>
    </row>
    <row r="904" ht="15.75" customHeight="1">
      <c r="B904" s="11"/>
      <c r="E904" s="11"/>
      <c r="F904" s="11"/>
    </row>
    <row r="905" ht="15.75" customHeight="1">
      <c r="B905" s="11"/>
      <c r="E905" s="11"/>
      <c r="F905" s="11"/>
    </row>
    <row r="906" ht="15.75" customHeight="1">
      <c r="B906" s="11"/>
      <c r="E906" s="11"/>
      <c r="F906" s="11"/>
    </row>
    <row r="907" ht="15.75" customHeight="1">
      <c r="B907" s="11"/>
      <c r="E907" s="11"/>
      <c r="F907" s="11"/>
    </row>
    <row r="908" ht="15.75" customHeight="1">
      <c r="B908" s="11"/>
      <c r="E908" s="11"/>
      <c r="F908" s="11"/>
    </row>
    <row r="909" ht="15.75" customHeight="1">
      <c r="B909" s="11"/>
      <c r="E909" s="11"/>
      <c r="F909" s="11"/>
    </row>
    <row r="910" ht="15.75" customHeight="1">
      <c r="B910" s="11"/>
      <c r="E910" s="11"/>
      <c r="F910" s="11"/>
    </row>
    <row r="911" ht="15.75" customHeight="1">
      <c r="B911" s="11"/>
      <c r="E911" s="11"/>
      <c r="F911" s="11"/>
    </row>
    <row r="912" ht="15.75" customHeight="1">
      <c r="B912" s="11"/>
      <c r="E912" s="11"/>
      <c r="F912" s="11"/>
    </row>
    <row r="913" ht="15.75" customHeight="1">
      <c r="B913" s="11"/>
      <c r="E913" s="11"/>
      <c r="F913" s="11"/>
    </row>
    <row r="914" ht="15.75" customHeight="1">
      <c r="B914" s="11"/>
      <c r="E914" s="11"/>
      <c r="F914" s="11"/>
    </row>
    <row r="915" ht="15.75" customHeight="1">
      <c r="B915" s="11"/>
      <c r="E915" s="11"/>
      <c r="F915" s="11"/>
    </row>
    <row r="916" ht="15.75" customHeight="1">
      <c r="B916" s="11"/>
      <c r="E916" s="11"/>
      <c r="F916" s="11"/>
    </row>
    <row r="917" ht="15.75" customHeight="1">
      <c r="B917" s="11"/>
      <c r="E917" s="11"/>
      <c r="F917" s="11"/>
    </row>
    <row r="918" ht="15.75" customHeight="1">
      <c r="B918" s="11"/>
      <c r="E918" s="11"/>
      <c r="F918" s="11"/>
    </row>
    <row r="919" ht="15.75" customHeight="1">
      <c r="B919" s="11"/>
      <c r="E919" s="11"/>
      <c r="F919" s="11"/>
    </row>
    <row r="920" ht="15.75" customHeight="1">
      <c r="B920" s="11"/>
      <c r="E920" s="11"/>
      <c r="F920" s="11"/>
    </row>
    <row r="921" ht="15.75" customHeight="1">
      <c r="B921" s="11"/>
      <c r="E921" s="11"/>
      <c r="F921" s="11"/>
    </row>
    <row r="922" ht="15.75" customHeight="1">
      <c r="B922" s="11"/>
      <c r="E922" s="11"/>
      <c r="F922" s="11"/>
    </row>
    <row r="923" ht="15.75" customHeight="1">
      <c r="B923" s="11"/>
      <c r="E923" s="11"/>
      <c r="F923" s="11"/>
    </row>
    <row r="924" ht="15.75" customHeight="1">
      <c r="B924" s="11"/>
      <c r="E924" s="11"/>
      <c r="F924" s="11"/>
    </row>
    <row r="925" ht="15.75" customHeight="1">
      <c r="B925" s="11"/>
      <c r="E925" s="11"/>
      <c r="F925" s="11"/>
    </row>
    <row r="926" ht="15.75" customHeight="1">
      <c r="B926" s="11"/>
      <c r="E926" s="11"/>
      <c r="F926" s="11"/>
    </row>
    <row r="927" ht="15.75" customHeight="1">
      <c r="B927" s="11"/>
      <c r="E927" s="11"/>
      <c r="F927" s="11"/>
    </row>
    <row r="928" ht="15.75" customHeight="1">
      <c r="B928" s="11"/>
      <c r="E928" s="11"/>
      <c r="F928" s="11"/>
    </row>
    <row r="929" ht="15.75" customHeight="1">
      <c r="B929" s="11"/>
      <c r="E929" s="11"/>
      <c r="F929" s="11"/>
    </row>
    <row r="930" ht="15.75" customHeight="1">
      <c r="B930" s="11"/>
      <c r="E930" s="11"/>
      <c r="F930" s="11"/>
    </row>
    <row r="931" ht="15.75" customHeight="1">
      <c r="B931" s="11"/>
      <c r="E931" s="11"/>
      <c r="F931" s="11"/>
    </row>
    <row r="932" ht="15.75" customHeight="1">
      <c r="B932" s="11"/>
      <c r="E932" s="11"/>
      <c r="F932" s="11"/>
    </row>
    <row r="933" ht="15.75" customHeight="1">
      <c r="B933" s="11"/>
      <c r="E933" s="11"/>
      <c r="F933" s="11"/>
    </row>
    <row r="934" ht="15.75" customHeight="1">
      <c r="B934" s="11"/>
      <c r="E934" s="11"/>
      <c r="F934" s="11"/>
    </row>
    <row r="935" ht="15.75" customHeight="1">
      <c r="B935" s="11"/>
      <c r="E935" s="11"/>
      <c r="F935" s="11"/>
    </row>
    <row r="936" ht="15.75" customHeight="1">
      <c r="B936" s="11"/>
      <c r="E936" s="11"/>
      <c r="F936" s="11"/>
    </row>
    <row r="937" ht="15.75" customHeight="1">
      <c r="B937" s="11"/>
      <c r="E937" s="11"/>
      <c r="F937" s="11"/>
    </row>
    <row r="938" ht="15.75" customHeight="1">
      <c r="B938" s="11"/>
      <c r="E938" s="11"/>
      <c r="F938" s="11"/>
    </row>
    <row r="939" ht="15.75" customHeight="1">
      <c r="B939" s="11"/>
      <c r="E939" s="11"/>
      <c r="F939" s="11"/>
    </row>
    <row r="940" ht="15.75" customHeight="1">
      <c r="B940" s="11"/>
      <c r="E940" s="11"/>
      <c r="F940" s="11"/>
    </row>
    <row r="941" ht="15.75" customHeight="1">
      <c r="B941" s="11"/>
      <c r="E941" s="11"/>
      <c r="F941" s="11"/>
    </row>
    <row r="942" ht="15.75" customHeight="1">
      <c r="B942" s="11"/>
      <c r="E942" s="11"/>
      <c r="F942" s="11"/>
    </row>
    <row r="943" ht="15.75" customHeight="1">
      <c r="B943" s="11"/>
      <c r="E943" s="11"/>
      <c r="F943" s="11"/>
    </row>
    <row r="944" ht="15.75" customHeight="1">
      <c r="B944" s="11"/>
      <c r="E944" s="11"/>
      <c r="F944" s="11"/>
    </row>
    <row r="945" ht="15.75" customHeight="1">
      <c r="B945" s="11"/>
      <c r="E945" s="11"/>
      <c r="F945" s="11"/>
    </row>
    <row r="946" ht="15.75" customHeight="1">
      <c r="B946" s="11"/>
      <c r="E946" s="11"/>
      <c r="F946" s="11"/>
    </row>
    <row r="947" ht="15.75" customHeight="1">
      <c r="B947" s="11"/>
      <c r="E947" s="11"/>
      <c r="F947" s="11"/>
    </row>
    <row r="948" ht="15.75" customHeight="1">
      <c r="B948" s="11"/>
      <c r="E948" s="11"/>
      <c r="F948" s="11"/>
    </row>
    <row r="949" ht="15.75" customHeight="1">
      <c r="B949" s="11"/>
      <c r="E949" s="11"/>
      <c r="F949" s="11"/>
    </row>
    <row r="950" ht="15.75" customHeight="1">
      <c r="B950" s="11"/>
      <c r="E950" s="11"/>
      <c r="F950" s="11"/>
    </row>
    <row r="951" ht="15.75" customHeight="1">
      <c r="B951" s="11"/>
      <c r="E951" s="11"/>
      <c r="F951" s="11"/>
    </row>
    <row r="952" ht="15.75" customHeight="1">
      <c r="B952" s="11"/>
      <c r="E952" s="11"/>
      <c r="F952" s="11"/>
    </row>
    <row r="953" ht="15.75" customHeight="1">
      <c r="B953" s="11"/>
      <c r="E953" s="11"/>
      <c r="F953" s="11"/>
    </row>
    <row r="954" ht="15.75" customHeight="1">
      <c r="B954" s="11"/>
      <c r="E954" s="11"/>
      <c r="F954" s="11"/>
    </row>
    <row r="955" ht="15.75" customHeight="1">
      <c r="B955" s="11"/>
      <c r="E955" s="11"/>
      <c r="F955" s="11"/>
    </row>
    <row r="956" ht="15.75" customHeight="1">
      <c r="B956" s="11"/>
      <c r="E956" s="11"/>
      <c r="F956" s="11"/>
    </row>
    <row r="957" ht="15.75" customHeight="1">
      <c r="B957" s="11"/>
      <c r="E957" s="11"/>
      <c r="F957" s="11"/>
    </row>
    <row r="958" ht="15.75" customHeight="1">
      <c r="B958" s="11"/>
      <c r="E958" s="11"/>
      <c r="F958" s="11"/>
    </row>
    <row r="959" ht="15.75" customHeight="1">
      <c r="B959" s="11"/>
      <c r="E959" s="11"/>
      <c r="F959" s="11"/>
    </row>
    <row r="960" ht="15.75" customHeight="1">
      <c r="B960" s="11"/>
      <c r="E960" s="11"/>
      <c r="F960" s="11"/>
    </row>
    <row r="961" ht="15.75" customHeight="1">
      <c r="B961" s="11"/>
      <c r="E961" s="11"/>
      <c r="F961" s="11"/>
    </row>
    <row r="962" ht="15.75" customHeight="1">
      <c r="B962" s="11"/>
      <c r="E962" s="11"/>
      <c r="F962" s="11"/>
    </row>
    <row r="963" ht="15.75" customHeight="1">
      <c r="B963" s="11"/>
      <c r="E963" s="11"/>
      <c r="F963" s="11"/>
    </row>
    <row r="964" ht="15.75" customHeight="1">
      <c r="B964" s="11"/>
      <c r="E964" s="11"/>
      <c r="F964" s="11"/>
    </row>
    <row r="965" ht="15.75" customHeight="1">
      <c r="B965" s="11"/>
      <c r="E965" s="11"/>
      <c r="F965" s="11"/>
    </row>
    <row r="966" ht="15.75" customHeight="1">
      <c r="B966" s="11"/>
      <c r="E966" s="11"/>
      <c r="F966" s="11"/>
    </row>
    <row r="967" ht="15.75" customHeight="1">
      <c r="B967" s="11"/>
      <c r="E967" s="11"/>
      <c r="F967" s="11"/>
    </row>
    <row r="968" ht="15.75" customHeight="1">
      <c r="B968" s="11"/>
      <c r="E968" s="11"/>
      <c r="F968" s="11"/>
    </row>
    <row r="969" ht="15.75" customHeight="1">
      <c r="B969" s="11"/>
      <c r="E969" s="11"/>
      <c r="F969" s="11"/>
    </row>
    <row r="970" ht="15.75" customHeight="1">
      <c r="B970" s="11"/>
      <c r="E970" s="11"/>
      <c r="F970" s="11"/>
    </row>
    <row r="971" ht="15.75" customHeight="1">
      <c r="B971" s="11"/>
      <c r="E971" s="11"/>
      <c r="F971" s="11"/>
    </row>
    <row r="972" ht="15.75" customHeight="1">
      <c r="B972" s="11"/>
      <c r="E972" s="11"/>
      <c r="F972" s="11"/>
    </row>
    <row r="973" ht="15.75" customHeight="1">
      <c r="B973" s="11"/>
      <c r="E973" s="11"/>
      <c r="F973" s="11"/>
    </row>
    <row r="974" ht="15.75" customHeight="1">
      <c r="B974" s="11"/>
      <c r="E974" s="11"/>
      <c r="F974" s="11"/>
    </row>
    <row r="975" ht="15.75" customHeight="1">
      <c r="B975" s="11"/>
      <c r="E975" s="11"/>
      <c r="F975" s="11"/>
    </row>
    <row r="976" ht="15.75" customHeight="1">
      <c r="B976" s="11"/>
      <c r="E976" s="11"/>
      <c r="F976" s="11"/>
    </row>
    <row r="977" ht="15.75" customHeight="1">
      <c r="B977" s="11"/>
      <c r="E977" s="11"/>
      <c r="F977" s="11"/>
    </row>
    <row r="978" ht="15.75" customHeight="1">
      <c r="B978" s="11"/>
      <c r="E978" s="11"/>
      <c r="F978" s="11"/>
    </row>
    <row r="979" ht="15.75" customHeight="1">
      <c r="B979" s="11"/>
      <c r="E979" s="11"/>
      <c r="F979" s="11"/>
    </row>
    <row r="980" ht="15.75" customHeight="1">
      <c r="B980" s="11"/>
      <c r="E980" s="11"/>
      <c r="F980" s="11"/>
    </row>
    <row r="981" ht="15.75" customHeight="1">
      <c r="B981" s="11"/>
      <c r="E981" s="11"/>
      <c r="F981" s="11"/>
    </row>
    <row r="982" ht="15.75" customHeight="1">
      <c r="B982" s="11"/>
      <c r="E982" s="11"/>
      <c r="F982" s="11"/>
    </row>
    <row r="983" ht="15.75" customHeight="1">
      <c r="B983" s="11"/>
      <c r="E983" s="11"/>
      <c r="F983" s="11"/>
    </row>
    <row r="984" ht="15.75" customHeight="1">
      <c r="B984" s="11"/>
      <c r="E984" s="11"/>
      <c r="F984" s="11"/>
    </row>
    <row r="985" ht="15.75" customHeight="1">
      <c r="B985" s="11"/>
      <c r="E985" s="11"/>
      <c r="F985" s="11"/>
    </row>
    <row r="986" ht="15.75" customHeight="1">
      <c r="B986" s="11"/>
      <c r="E986" s="11"/>
      <c r="F986" s="11"/>
    </row>
    <row r="987" ht="15.75" customHeight="1">
      <c r="B987" s="11"/>
      <c r="E987" s="11"/>
      <c r="F987" s="11"/>
    </row>
    <row r="988" ht="15.75" customHeight="1">
      <c r="B988" s="11"/>
      <c r="E988" s="11"/>
      <c r="F988" s="11"/>
    </row>
    <row r="989" ht="15.75" customHeight="1">
      <c r="B989" s="11"/>
      <c r="E989" s="11"/>
      <c r="F989" s="11"/>
    </row>
    <row r="990" ht="15.75" customHeight="1">
      <c r="B990" s="11"/>
      <c r="E990" s="11"/>
      <c r="F990" s="11"/>
    </row>
    <row r="991" ht="15.75" customHeight="1">
      <c r="B991" s="11"/>
      <c r="E991" s="11"/>
      <c r="F991" s="11"/>
    </row>
    <row r="992" ht="15.75" customHeight="1">
      <c r="B992" s="11"/>
      <c r="E992" s="11"/>
      <c r="F992" s="11"/>
    </row>
    <row r="993" ht="15.75" customHeight="1">
      <c r="B993" s="11"/>
      <c r="E993" s="11"/>
      <c r="F993" s="11"/>
    </row>
    <row r="994" ht="15.75" customHeight="1">
      <c r="B994" s="11"/>
      <c r="E994" s="11"/>
      <c r="F994" s="11"/>
    </row>
    <row r="995" ht="15.75" customHeight="1">
      <c r="B995" s="11"/>
      <c r="E995" s="11"/>
      <c r="F995" s="11"/>
    </row>
    <row r="996" ht="15.75" customHeight="1"/>
    <row r="997" ht="15.75" customHeight="1"/>
    <row r="998" ht="15.75" customHeight="1"/>
    <row r="999" ht="15.75" customHeight="1"/>
    <row r="1000" ht="15.75" customHeight="1"/>
  </sheetData>
  <conditionalFormatting sqref="E2:E1000">
    <cfRule type="cellIs" dxfId="0" priority="1" operator="equal">
      <formula>"IPO"</formula>
    </cfRule>
  </conditionalFormatting>
  <conditionalFormatting sqref="L2:Z1000">
    <cfRule type="notContainsBlanks" dxfId="0" priority="2">
      <formula>LEN(TRIM(L2))&gt;0</formula>
    </cfRule>
  </conditionalFormatting>
  <conditionalFormatting sqref="E2:E1000">
    <cfRule type="cellIs" dxfId="2" priority="3" operator="equal">
      <formula>"Acquired"</formula>
    </cfRule>
  </conditionalFormatting>
  <conditionalFormatting sqref="E2:E1000">
    <cfRule type="cellIs" dxfId="3" priority="4" operator="equal">
      <formula>"Closed"</formula>
    </cfRule>
  </conditionalFormatting>
  <conditionalFormatting sqref="AA2:AA1000">
    <cfRule type="notContainsBlanks" dxfId="0" priority="5">
      <formula>LEN(TRIM(AA2))&gt;0</formula>
    </cfRule>
  </conditionalFormatting>
  <dataValidations>
    <dataValidation type="list" allowBlank="1" sqref="B2:B995">
      <formula1>"A,B,C,D,E"</formula1>
    </dataValidation>
    <dataValidation type="list" allowBlank="1" sqref="F2:F995">
      <formula1>"done"</formula1>
    </dataValidation>
    <dataValidation type="list" allowBlank="1" sqref="E2:E995">
      <formula1>"Active,IPO,Closed,Acquired"</formula1>
    </dataValidation>
  </dataValidations>
  <hyperlinks>
    <hyperlink r:id="rId2" ref="D2"/>
    <hyperlink r:id="rId3" location="section-overview" ref="I2"/>
    <hyperlink r:id="rId4" ref="J2"/>
    <hyperlink r:id="rId5" ref="Z2"/>
    <hyperlink r:id="rId6" ref="D3"/>
    <hyperlink r:id="rId7" location="section-overview" ref="I3"/>
    <hyperlink r:id="rId8" ref="J3"/>
    <hyperlink r:id="rId9" ref="Z3"/>
    <hyperlink r:id="rId10" ref="D4"/>
    <hyperlink r:id="rId11" location="section-overview" ref="I4"/>
    <hyperlink r:id="rId12" ref="J4"/>
    <hyperlink r:id="rId13" ref="R4"/>
    <hyperlink r:id="rId14" ref="D5"/>
    <hyperlink r:id="rId15" location="section-overview" ref="I5"/>
    <hyperlink r:id="rId16" ref="J5"/>
    <hyperlink r:id="rId17" ref="Y5"/>
    <hyperlink r:id="rId18" ref="D6"/>
    <hyperlink r:id="rId19" ref="I6"/>
    <hyperlink r:id="rId20" ref="J6"/>
    <hyperlink r:id="rId21" ref="L6"/>
    <hyperlink r:id="rId22" ref="D7"/>
    <hyperlink r:id="rId23" location="section-overview" ref="I7"/>
    <hyperlink r:id="rId24" ref="T7"/>
    <hyperlink r:id="rId25" ref="V7"/>
    <hyperlink r:id="rId26" ref="D8"/>
    <hyperlink r:id="rId27" location="section-overview" ref="I8"/>
    <hyperlink r:id="rId28" ref="N8"/>
    <hyperlink r:id="rId29" ref="D9"/>
    <hyperlink r:id="rId30" location="section-overview" ref="I9"/>
    <hyperlink r:id="rId31" ref="R9"/>
    <hyperlink r:id="rId32" ref="D10"/>
    <hyperlink r:id="rId33" location="section-overview" ref="I10"/>
    <hyperlink r:id="rId34" ref="AA10"/>
    <hyperlink r:id="rId35" ref="D11"/>
    <hyperlink r:id="rId36" ref="D12"/>
    <hyperlink r:id="rId37" ref="D13"/>
    <hyperlink r:id="rId38" ref="D14"/>
    <hyperlink r:id="rId39" ref="D15"/>
    <hyperlink r:id="rId40" ref="D16"/>
    <hyperlink r:id="rId41" ref="D17"/>
    <hyperlink r:id="rId42" location="section-overview" ref="I17"/>
    <hyperlink r:id="rId43" ref="T17"/>
    <hyperlink r:id="rId44" ref="D18"/>
    <hyperlink r:id="rId45" ref="D19"/>
    <hyperlink r:id="rId46" ref="J19"/>
    <hyperlink r:id="rId47" ref="D20"/>
    <hyperlink r:id="rId48" ref="D21"/>
    <hyperlink r:id="rId49" ref="D22"/>
    <hyperlink r:id="rId50" ref="D23"/>
    <hyperlink r:id="rId51" ref="D24"/>
    <hyperlink r:id="rId52" ref="I24"/>
    <hyperlink r:id="rId53" ref="J24"/>
    <hyperlink r:id="rId54" ref="D25"/>
    <hyperlink r:id="rId55" ref="D26"/>
    <hyperlink r:id="rId56" ref="D27"/>
    <hyperlink r:id="rId57" ref="D28"/>
    <hyperlink r:id="rId58" ref="D29"/>
    <hyperlink r:id="rId59" ref="D30"/>
    <hyperlink r:id="rId60" ref="D31"/>
    <hyperlink r:id="rId61" ref="AE31"/>
    <hyperlink r:id="rId62" ref="D32"/>
    <hyperlink r:id="rId63" ref="P32"/>
    <hyperlink r:id="rId64" ref="D33"/>
    <hyperlink r:id="rId65" ref="D34"/>
    <hyperlink r:id="rId66" ref="D35"/>
    <hyperlink r:id="rId67" ref="I35"/>
    <hyperlink r:id="rId68" ref="L35"/>
    <hyperlink r:id="rId69" ref="D36"/>
    <hyperlink r:id="rId70" ref="D37"/>
    <hyperlink r:id="rId71" ref="D38"/>
    <hyperlink r:id="rId72" ref="A39"/>
    <hyperlink r:id="rId73" ref="D39"/>
    <hyperlink r:id="rId74" ref="D40"/>
    <hyperlink r:id="rId75" ref="D41"/>
    <hyperlink r:id="rId76" ref="D42"/>
    <hyperlink r:id="rId77" ref="D43"/>
    <hyperlink r:id="rId78" ref="D44"/>
    <hyperlink r:id="rId79" ref="D45"/>
    <hyperlink r:id="rId80" ref="D46"/>
    <hyperlink r:id="rId81" ref="D47"/>
    <hyperlink r:id="rId82" ref="D48"/>
    <hyperlink r:id="rId83" ref="D49"/>
    <hyperlink r:id="rId84" ref="I49"/>
    <hyperlink r:id="rId85" ref="D50"/>
    <hyperlink r:id="rId86" ref="D51"/>
    <hyperlink r:id="rId87" ref="D52"/>
    <hyperlink r:id="rId88" ref="D53"/>
    <hyperlink r:id="rId89" ref="D54"/>
    <hyperlink r:id="rId90" ref="D55"/>
    <hyperlink r:id="rId91" ref="D56"/>
    <hyperlink r:id="rId92" ref="D57"/>
    <hyperlink r:id="rId93" ref="D58"/>
    <hyperlink r:id="rId94" ref="D59"/>
    <hyperlink r:id="rId95" ref="D60"/>
    <hyperlink r:id="rId96" ref="I60"/>
    <hyperlink r:id="rId97" ref="J60"/>
    <hyperlink r:id="rId98" ref="M60"/>
    <hyperlink r:id="rId99" ref="D61"/>
    <hyperlink r:id="rId100" location="tab2" ref="D62"/>
    <hyperlink r:id="rId101" ref="D63"/>
    <hyperlink r:id="rId102" ref="D64"/>
    <hyperlink r:id="rId103" ref="T64"/>
    <hyperlink r:id="rId104" ref="D70"/>
    <hyperlink r:id="rId105" location="section-overview" ref="I70"/>
    <hyperlink r:id="rId106" ref="D71"/>
    <hyperlink r:id="rId107" ref="D72"/>
    <hyperlink r:id="rId108" ref="D73"/>
    <hyperlink r:id="rId109" ref="D74"/>
    <hyperlink r:id="rId110" ref="D75"/>
    <hyperlink r:id="rId111" ref="D76"/>
    <hyperlink r:id="rId112" ref="D77"/>
    <hyperlink r:id="rId113" ref="P77"/>
    <hyperlink r:id="rId114" ref="Q77"/>
    <hyperlink r:id="rId115" ref="D78"/>
    <hyperlink r:id="rId116" ref="D79"/>
    <hyperlink r:id="rId117" ref="D80"/>
    <hyperlink r:id="rId118" ref="D81"/>
    <hyperlink r:id="rId119" ref="D82"/>
    <hyperlink r:id="rId120" ref="D83"/>
    <hyperlink r:id="rId121" ref="D84"/>
    <hyperlink r:id="rId122" ref="D85"/>
    <hyperlink r:id="rId123" ref="D86"/>
    <hyperlink r:id="rId124" ref="D87"/>
    <hyperlink r:id="rId125" ref="D88"/>
    <hyperlink r:id="rId126" ref="D89"/>
    <hyperlink r:id="rId127" location="section-overview" ref="I89"/>
    <hyperlink r:id="rId128" ref="D90"/>
    <hyperlink r:id="rId129" ref="D91"/>
    <hyperlink r:id="rId130" ref="D92"/>
    <hyperlink r:id="rId131" ref="D93"/>
    <hyperlink r:id="rId132" ref="D94"/>
    <hyperlink r:id="rId133" ref="D95"/>
    <hyperlink r:id="rId134" ref="D96"/>
    <hyperlink r:id="rId135" ref="D97"/>
    <hyperlink r:id="rId136" ref="D98"/>
    <hyperlink r:id="rId137" ref="D99"/>
    <hyperlink r:id="rId138" ref="D100"/>
    <hyperlink r:id="rId139" ref="D101"/>
    <hyperlink r:id="rId140" ref="D102"/>
    <hyperlink r:id="rId141" ref="D103"/>
    <hyperlink r:id="rId142" ref="D104"/>
    <hyperlink r:id="rId143" location="section-overview" ref="I104"/>
    <hyperlink r:id="rId144" ref="Q104"/>
    <hyperlink r:id="rId145" ref="D105"/>
    <hyperlink r:id="rId146" ref="D106"/>
    <hyperlink r:id="rId147" ref="D107"/>
    <hyperlink r:id="rId148" ref="D108"/>
    <hyperlink r:id="rId149" ref="D109"/>
    <hyperlink r:id="rId150" ref="D110"/>
    <hyperlink r:id="rId151" ref="D111"/>
    <hyperlink r:id="rId152" ref="D112"/>
    <hyperlink r:id="rId153" ref="D113"/>
    <hyperlink r:id="rId154" ref="D114"/>
    <hyperlink r:id="rId155" ref="D115"/>
    <hyperlink r:id="rId156" ref="D116"/>
    <hyperlink r:id="rId157" ref="D117"/>
    <hyperlink r:id="rId158" ref="D118"/>
    <hyperlink r:id="rId159" ref="D119"/>
    <hyperlink r:id="rId160" ref="D120"/>
    <hyperlink r:id="rId161" ref="D121"/>
    <hyperlink r:id="rId162" ref="D122"/>
    <hyperlink r:id="rId163" ref="D123"/>
    <hyperlink r:id="rId164" ref="D124"/>
    <hyperlink r:id="rId165" ref="D125"/>
    <hyperlink r:id="rId166" ref="D126"/>
    <hyperlink r:id="rId167" ref="D127"/>
    <hyperlink r:id="rId168" ref="D128"/>
    <hyperlink r:id="rId169" ref="D129"/>
    <hyperlink r:id="rId170" ref="D130"/>
    <hyperlink r:id="rId171" ref="D131"/>
    <hyperlink r:id="rId172" ref="D132"/>
    <hyperlink r:id="rId173" ref="D133"/>
    <hyperlink r:id="rId174" ref="D134"/>
    <hyperlink r:id="rId175" ref="D135"/>
    <hyperlink r:id="rId176" ref="D136"/>
    <hyperlink r:id="rId177" ref="D137"/>
    <hyperlink r:id="rId178" ref="D138"/>
    <hyperlink r:id="rId179" ref="D139"/>
    <hyperlink r:id="rId180" ref="D140"/>
    <hyperlink r:id="rId181" ref="D141"/>
    <hyperlink r:id="rId182" ref="D142"/>
    <hyperlink r:id="rId183" ref="D143"/>
    <hyperlink r:id="rId184" ref="D144"/>
    <hyperlink r:id="rId185" ref="D145"/>
    <hyperlink r:id="rId186" ref="D146"/>
    <hyperlink r:id="rId187" ref="D147"/>
    <hyperlink r:id="rId188" ref="D148"/>
    <hyperlink r:id="rId189" ref="D149"/>
    <hyperlink r:id="rId190" ref="D150"/>
    <hyperlink r:id="rId191" ref="D151"/>
    <hyperlink r:id="rId192" ref="D152"/>
    <hyperlink r:id="rId193" ref="D153"/>
    <hyperlink r:id="rId194" ref="D154"/>
    <hyperlink r:id="rId195" ref="D155"/>
    <hyperlink r:id="rId196" ref="D156"/>
    <hyperlink r:id="rId197" ref="D157"/>
    <hyperlink r:id="rId198" ref="I157"/>
    <hyperlink r:id="rId199" ref="L157"/>
    <hyperlink r:id="rId200" location="section-overview" ref="I158"/>
    <hyperlink r:id="rId201" ref="D159"/>
    <hyperlink r:id="rId202" ref="D160"/>
    <hyperlink r:id="rId203" ref="I160"/>
    <hyperlink r:id="rId204" ref="D161"/>
    <hyperlink r:id="rId205" location="section-locked-charts" ref="I163"/>
    <hyperlink r:id="rId206" ref="D164"/>
    <hyperlink r:id="rId207" ref="D165"/>
    <hyperlink r:id="rId208" ref="D166"/>
    <hyperlink r:id="rId209" ref="D167"/>
    <hyperlink r:id="rId210" ref="L167"/>
    <hyperlink r:id="rId211" ref="D168"/>
    <hyperlink r:id="rId212" ref="L168"/>
    <hyperlink r:id="rId213" ref="D169"/>
    <hyperlink r:id="rId214" ref="L169"/>
    <hyperlink r:id="rId215" ref="D170"/>
    <hyperlink r:id="rId216" ref="D171"/>
    <hyperlink r:id="rId217" ref="D172"/>
    <hyperlink r:id="rId218" ref="D173"/>
    <hyperlink r:id="rId219" ref="D174"/>
    <hyperlink r:id="rId220" ref="R174"/>
    <hyperlink r:id="rId221" ref="D175"/>
    <hyperlink r:id="rId222" location="section-overview" ref="I175"/>
    <hyperlink r:id="rId223" ref="T175"/>
    <hyperlink r:id="rId224" ref="D176"/>
    <hyperlink r:id="rId225" ref="D177"/>
  </hyperlinks>
  <drawing r:id="rId226"/>
  <legacyDrawing r:id="rId2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ht="15.75" customHeight="1">
      <c r="A1" s="4" t="s">
        <v>2759</v>
      </c>
      <c r="B1" s="4" t="s">
        <v>2265</v>
      </c>
      <c r="C1" s="2" t="s">
        <v>0</v>
      </c>
      <c r="D1" s="2" t="s">
        <v>2266</v>
      </c>
      <c r="E1" s="1" t="s">
        <v>2</v>
      </c>
      <c r="F1" s="2" t="s">
        <v>2760</v>
      </c>
      <c r="G1" s="2" t="s">
        <v>9</v>
      </c>
      <c r="H1" s="2" t="s">
        <v>2256</v>
      </c>
      <c r="J1" s="2" t="s">
        <v>2761</v>
      </c>
      <c r="K1" s="2" t="s">
        <v>2762</v>
      </c>
      <c r="L1" s="2" t="s">
        <v>2287</v>
      </c>
      <c r="M1" s="2" t="s">
        <v>2271</v>
      </c>
      <c r="N1" s="2"/>
      <c r="O1" s="2"/>
      <c r="P1" s="2"/>
      <c r="Q1" s="2"/>
      <c r="R1" s="2"/>
      <c r="S1" s="2"/>
      <c r="T1" s="2"/>
      <c r="U1" s="2"/>
      <c r="V1" s="2"/>
      <c r="W1" s="2"/>
      <c r="X1" s="2"/>
      <c r="Y1" s="2"/>
      <c r="Z1" s="2"/>
      <c r="AA1" s="2"/>
      <c r="AB1" s="2"/>
      <c r="AC1" s="2"/>
      <c r="AD1" s="2"/>
    </row>
    <row r="2" ht="15.75" customHeight="1">
      <c r="A2" s="96" t="s">
        <v>2763</v>
      </c>
      <c r="B2" s="84" t="s">
        <v>2289</v>
      </c>
      <c r="C2" s="11" t="s">
        <v>2764</v>
      </c>
      <c r="E2" s="31"/>
      <c r="F2" s="11"/>
    </row>
    <row r="3" ht="15.75" customHeight="1">
      <c r="A3" s="96" t="s">
        <v>2763</v>
      </c>
      <c r="B3" s="84" t="s">
        <v>2289</v>
      </c>
      <c r="C3" s="11" t="s">
        <v>2765</v>
      </c>
      <c r="E3" s="85" t="s">
        <v>2766</v>
      </c>
      <c r="F3" s="11"/>
    </row>
    <row r="4" ht="15.75" customHeight="1">
      <c r="A4" s="96" t="s">
        <v>2763</v>
      </c>
      <c r="B4" s="84" t="s">
        <v>2289</v>
      </c>
      <c r="C4" s="11" t="s">
        <v>2767</v>
      </c>
      <c r="E4" s="85" t="s">
        <v>2768</v>
      </c>
      <c r="F4" s="11"/>
    </row>
    <row r="5" ht="15.75" customHeight="1">
      <c r="A5" s="96" t="s">
        <v>2763</v>
      </c>
      <c r="B5" s="84" t="s">
        <v>2289</v>
      </c>
      <c r="C5" s="11" t="s">
        <v>2769</v>
      </c>
      <c r="D5" s="11">
        <v>2014.0</v>
      </c>
      <c r="E5" s="85" t="s">
        <v>2770</v>
      </c>
      <c r="F5" s="11" t="s">
        <v>62</v>
      </c>
      <c r="J5" s="47" t="s">
        <v>2771</v>
      </c>
    </row>
    <row r="6" ht="15.75" customHeight="1">
      <c r="A6" s="96" t="s">
        <v>2763</v>
      </c>
      <c r="B6" s="84" t="s">
        <v>2356</v>
      </c>
      <c r="C6" s="11" t="s">
        <v>2772</v>
      </c>
      <c r="E6" s="47" t="s">
        <v>2773</v>
      </c>
      <c r="F6" s="11"/>
      <c r="G6" s="11"/>
      <c r="H6" s="11" t="s">
        <v>2774</v>
      </c>
      <c r="L6" s="11" t="s">
        <v>2775</v>
      </c>
    </row>
    <row r="7" ht="15.75" customHeight="1">
      <c r="A7" s="96" t="s">
        <v>2776</v>
      </c>
      <c r="B7" s="84" t="s">
        <v>2420</v>
      </c>
      <c r="C7" s="11" t="s">
        <v>2777</v>
      </c>
      <c r="E7" s="85" t="s">
        <v>2778</v>
      </c>
      <c r="F7" s="11" t="s">
        <v>24</v>
      </c>
      <c r="G7" s="11"/>
      <c r="H7" s="11" t="s">
        <v>2779</v>
      </c>
      <c r="L7" s="47" t="s">
        <v>2780</v>
      </c>
    </row>
    <row r="8" ht="15.75" customHeight="1">
      <c r="A8" s="96" t="s">
        <v>2781</v>
      </c>
      <c r="B8" s="84" t="s">
        <v>2289</v>
      </c>
      <c r="C8" s="11" t="s">
        <v>2782</v>
      </c>
      <c r="D8" s="11">
        <v>2016.0</v>
      </c>
      <c r="E8" s="47" t="s">
        <v>2783</v>
      </c>
      <c r="F8" s="11" t="s">
        <v>24</v>
      </c>
      <c r="G8" s="11" t="s">
        <v>2784</v>
      </c>
      <c r="H8" s="11" t="s">
        <v>2785</v>
      </c>
      <c r="J8" s="47" t="s">
        <v>2786</v>
      </c>
      <c r="K8" s="47" t="s">
        <v>2787</v>
      </c>
      <c r="L8" s="47" t="s">
        <v>2788</v>
      </c>
    </row>
    <row r="9" ht="15.75" customHeight="1">
      <c r="A9" s="96" t="s">
        <v>2763</v>
      </c>
      <c r="B9" s="84" t="s">
        <v>2356</v>
      </c>
      <c r="C9" s="11" t="s">
        <v>2789</v>
      </c>
      <c r="E9" s="85" t="s">
        <v>2790</v>
      </c>
      <c r="F9" s="11" t="s">
        <v>24</v>
      </c>
    </row>
    <row r="10" ht="15.75" customHeight="1">
      <c r="A10" s="96" t="s">
        <v>2763</v>
      </c>
      <c r="B10" s="84" t="s">
        <v>2356</v>
      </c>
      <c r="C10" s="11" t="s">
        <v>2791</v>
      </c>
      <c r="E10" s="85" t="s">
        <v>2792</v>
      </c>
      <c r="F10" s="11" t="s">
        <v>24</v>
      </c>
    </row>
    <row r="11" ht="15.75" customHeight="1">
      <c r="A11" s="96" t="s">
        <v>2776</v>
      </c>
      <c r="B11" s="84" t="s">
        <v>2289</v>
      </c>
      <c r="C11" s="11" t="s">
        <v>2793</v>
      </c>
      <c r="E11" s="85" t="s">
        <v>2794</v>
      </c>
      <c r="F11" s="11" t="s">
        <v>24</v>
      </c>
      <c r="H11" s="11" t="s">
        <v>2785</v>
      </c>
    </row>
    <row r="12" ht="15.75" customHeight="1">
      <c r="A12" s="96" t="s">
        <v>2795</v>
      </c>
      <c r="B12" s="84" t="s">
        <v>2420</v>
      </c>
      <c r="C12" s="11" t="s">
        <v>2796</v>
      </c>
      <c r="E12" s="85" t="s">
        <v>2797</v>
      </c>
      <c r="F12" s="11" t="s">
        <v>24</v>
      </c>
    </row>
    <row r="13" ht="15.75" customHeight="1">
      <c r="A13" s="96" t="s">
        <v>2798</v>
      </c>
      <c r="B13" s="84" t="s">
        <v>2420</v>
      </c>
      <c r="C13" s="11" t="s">
        <v>2799</v>
      </c>
      <c r="E13" s="85" t="s">
        <v>2800</v>
      </c>
      <c r="F13" s="11" t="s">
        <v>24</v>
      </c>
      <c r="H13" s="11" t="s">
        <v>2801</v>
      </c>
    </row>
    <row r="14" ht="15.75" customHeight="1">
      <c r="A14" s="96"/>
      <c r="B14" s="84"/>
      <c r="E14" s="31"/>
      <c r="F14" s="11"/>
    </row>
    <row r="15" ht="15.75" customHeight="1">
      <c r="A15" s="96"/>
      <c r="B15" s="84"/>
      <c r="E15" s="31"/>
      <c r="F15" s="11"/>
    </row>
    <row r="16" ht="15.75" customHeight="1">
      <c r="A16" s="96"/>
      <c r="B16" s="84"/>
      <c r="E16" s="31"/>
      <c r="F16" s="11"/>
    </row>
    <row r="17" ht="15.75" customHeight="1">
      <c r="A17" s="96"/>
      <c r="B17" s="84"/>
      <c r="E17" s="31"/>
      <c r="F17" s="11"/>
    </row>
    <row r="18" ht="15.75" customHeight="1">
      <c r="A18" s="96"/>
      <c r="B18" s="84"/>
      <c r="E18" s="31"/>
      <c r="F18" s="11"/>
    </row>
    <row r="19" ht="15.75" customHeight="1">
      <c r="A19" s="96"/>
      <c r="B19" s="84"/>
      <c r="E19" s="31"/>
      <c r="F19" s="11"/>
    </row>
    <row r="20" ht="15.75" customHeight="1">
      <c r="A20" s="96"/>
      <c r="B20" s="84"/>
      <c r="E20" s="31"/>
      <c r="F20" s="11"/>
    </row>
    <row r="21" ht="15.75" customHeight="1">
      <c r="A21" s="96"/>
      <c r="B21" s="84"/>
      <c r="E21" s="31"/>
      <c r="F21" s="11"/>
    </row>
    <row r="22" ht="15.75" customHeight="1">
      <c r="A22" s="96"/>
      <c r="B22" s="84"/>
      <c r="E22" s="31"/>
      <c r="F22" s="11"/>
    </row>
    <row r="23" ht="15.75" customHeight="1">
      <c r="A23" s="96"/>
      <c r="B23" s="84"/>
      <c r="E23" s="31"/>
      <c r="F23" s="11"/>
    </row>
    <row r="24" ht="15.75" customHeight="1">
      <c r="A24" s="96"/>
      <c r="B24" s="84"/>
      <c r="E24" s="31"/>
      <c r="F24" s="11"/>
    </row>
    <row r="25" ht="15.75" customHeight="1">
      <c r="A25" s="96"/>
      <c r="B25" s="84"/>
      <c r="E25" s="31"/>
      <c r="F25" s="11"/>
    </row>
    <row r="26" ht="15.75" customHeight="1">
      <c r="A26" s="96"/>
      <c r="B26" s="84"/>
      <c r="E26" s="31"/>
      <c r="F26" s="11"/>
    </row>
    <row r="27" ht="15.75" customHeight="1">
      <c r="A27" s="96"/>
      <c r="B27" s="84"/>
      <c r="E27" s="31"/>
      <c r="F27" s="11"/>
    </row>
    <row r="28" ht="15.75" customHeight="1">
      <c r="A28" s="96"/>
      <c r="B28" s="84"/>
      <c r="E28" s="31"/>
      <c r="F28" s="11"/>
    </row>
    <row r="29" ht="15.75" customHeight="1">
      <c r="A29" s="96"/>
      <c r="B29" s="84"/>
      <c r="E29" s="31"/>
      <c r="F29" s="11"/>
    </row>
    <row r="30" ht="15.75" customHeight="1">
      <c r="A30" s="96"/>
      <c r="B30" s="84"/>
      <c r="E30" s="31"/>
      <c r="F30" s="11"/>
    </row>
    <row r="31" ht="15.75" customHeight="1">
      <c r="A31" s="96"/>
      <c r="B31" s="84"/>
      <c r="E31" s="31"/>
      <c r="F31" s="11"/>
    </row>
    <row r="32" ht="15.75" customHeight="1">
      <c r="A32" s="96"/>
      <c r="B32" s="84"/>
      <c r="E32" s="31"/>
      <c r="F32" s="11"/>
    </row>
    <row r="33" ht="15.75" customHeight="1">
      <c r="A33" s="96"/>
      <c r="B33" s="84"/>
      <c r="E33" s="31"/>
      <c r="F33" s="11"/>
    </row>
    <row r="34" ht="15.75" customHeight="1">
      <c r="A34" s="96"/>
      <c r="B34" s="84"/>
      <c r="E34" s="31"/>
      <c r="F34" s="11"/>
    </row>
    <row r="35" ht="15.75" customHeight="1">
      <c r="A35" s="96"/>
      <c r="B35" s="84"/>
      <c r="E35" s="31"/>
      <c r="F35" s="11"/>
    </row>
    <row r="36" ht="15.75" customHeight="1">
      <c r="A36" s="96"/>
      <c r="B36" s="84"/>
      <c r="E36" s="31"/>
      <c r="F36" s="11"/>
    </row>
    <row r="37" ht="15.75" customHeight="1">
      <c r="A37" s="96"/>
      <c r="B37" s="84"/>
      <c r="E37" s="31"/>
      <c r="F37" s="11"/>
    </row>
    <row r="38" ht="15.75" customHeight="1">
      <c r="A38" s="96"/>
      <c r="B38" s="84"/>
      <c r="E38" s="31"/>
      <c r="F38" s="11"/>
    </row>
    <row r="39" ht="15.75" customHeight="1">
      <c r="A39" s="96"/>
      <c r="B39" s="84"/>
      <c r="E39" s="31"/>
      <c r="F39" s="11"/>
    </row>
    <row r="40" ht="15.75" customHeight="1">
      <c r="A40" s="96"/>
      <c r="B40" s="84"/>
      <c r="E40" s="31"/>
      <c r="F40" s="11"/>
    </row>
    <row r="41" ht="15.75" customHeight="1">
      <c r="A41" s="96"/>
      <c r="B41" s="84"/>
      <c r="E41" s="31"/>
      <c r="F41" s="11"/>
    </row>
    <row r="42" ht="15.75" customHeight="1">
      <c r="A42" s="96"/>
      <c r="B42" s="84"/>
      <c r="E42" s="31"/>
      <c r="F42" s="11"/>
    </row>
    <row r="43" ht="15.75" customHeight="1">
      <c r="A43" s="96"/>
      <c r="B43" s="84"/>
      <c r="E43" s="31"/>
      <c r="F43" s="11"/>
    </row>
    <row r="44" ht="15.75" customHeight="1">
      <c r="A44" s="96"/>
      <c r="B44" s="84"/>
      <c r="E44" s="31"/>
      <c r="F44" s="11"/>
    </row>
    <row r="45" ht="15.75" customHeight="1">
      <c r="A45" s="96"/>
      <c r="B45" s="84"/>
      <c r="E45" s="31"/>
      <c r="F45" s="11"/>
    </row>
    <row r="46" ht="15.75" customHeight="1">
      <c r="A46" s="96"/>
      <c r="B46" s="84"/>
      <c r="E46" s="31"/>
      <c r="F46" s="11"/>
    </row>
    <row r="47" ht="15.75" customHeight="1">
      <c r="A47" s="96"/>
      <c r="B47" s="84"/>
      <c r="E47" s="31"/>
      <c r="F47" s="11"/>
    </row>
    <row r="48" ht="15.75" customHeight="1">
      <c r="A48" s="96"/>
      <c r="B48" s="84"/>
      <c r="E48" s="31"/>
      <c r="F48" s="11"/>
    </row>
    <row r="49" ht="15.75" customHeight="1">
      <c r="A49" s="96"/>
      <c r="B49" s="84"/>
      <c r="E49" s="31"/>
      <c r="F49" s="11"/>
    </row>
    <row r="50" ht="15.75" customHeight="1">
      <c r="A50" s="96"/>
      <c r="B50" s="84"/>
      <c r="E50" s="31"/>
      <c r="F50" s="11"/>
    </row>
    <row r="51" ht="15.75" customHeight="1">
      <c r="A51" s="96"/>
      <c r="B51" s="84"/>
      <c r="E51" s="31"/>
      <c r="F51" s="11"/>
    </row>
    <row r="52" ht="15.75" customHeight="1">
      <c r="A52" s="96"/>
      <c r="B52" s="84"/>
      <c r="E52" s="31"/>
      <c r="F52" s="11"/>
    </row>
    <row r="53" ht="15.75" customHeight="1">
      <c r="A53" s="96"/>
      <c r="B53" s="84"/>
      <c r="E53" s="31"/>
      <c r="F53" s="11"/>
    </row>
    <row r="54" ht="15.75" customHeight="1">
      <c r="A54" s="96"/>
      <c r="B54" s="84"/>
      <c r="E54" s="31"/>
      <c r="F54" s="11"/>
    </row>
    <row r="55" ht="15.75" customHeight="1">
      <c r="A55" s="96"/>
      <c r="B55" s="84"/>
      <c r="E55" s="31"/>
      <c r="F55" s="11"/>
    </row>
    <row r="56" ht="15.75" customHeight="1">
      <c r="A56" s="96"/>
      <c r="B56" s="84"/>
      <c r="E56" s="31"/>
      <c r="F56" s="11"/>
    </row>
    <row r="57" ht="15.75" customHeight="1">
      <c r="A57" s="96"/>
      <c r="B57" s="84"/>
      <c r="E57" s="31"/>
      <c r="F57" s="11"/>
    </row>
    <row r="58" ht="15.75" customHeight="1">
      <c r="A58" s="96"/>
      <c r="B58" s="84"/>
      <c r="E58" s="31"/>
      <c r="F58" s="11"/>
    </row>
    <row r="59" ht="15.75" customHeight="1">
      <c r="A59" s="96"/>
      <c r="B59" s="84"/>
      <c r="E59" s="31"/>
      <c r="F59" s="11"/>
    </row>
    <row r="60" ht="15.75" customHeight="1">
      <c r="A60" s="96"/>
      <c r="B60" s="84"/>
      <c r="E60" s="31"/>
      <c r="F60" s="11"/>
    </row>
    <row r="61" ht="15.75" customHeight="1">
      <c r="A61" s="96"/>
      <c r="B61" s="84"/>
      <c r="E61" s="31"/>
      <c r="F61" s="11"/>
    </row>
    <row r="62" ht="15.75" customHeight="1">
      <c r="A62" s="96"/>
      <c r="B62" s="84"/>
      <c r="E62" s="31"/>
      <c r="F62" s="11"/>
    </row>
    <row r="63" ht="15.75" customHeight="1">
      <c r="A63" s="96"/>
      <c r="B63" s="84"/>
      <c r="E63" s="31"/>
      <c r="F63" s="11"/>
    </row>
    <row r="64" ht="15.75" customHeight="1">
      <c r="A64" s="96"/>
      <c r="B64" s="84"/>
      <c r="E64" s="31"/>
      <c r="F64" s="11"/>
    </row>
    <row r="65" ht="15.75" customHeight="1">
      <c r="A65" s="96"/>
      <c r="B65" s="84"/>
      <c r="E65" s="31"/>
      <c r="F65" s="11"/>
    </row>
    <row r="66" ht="15.75" customHeight="1">
      <c r="A66" s="96"/>
      <c r="B66" s="84"/>
      <c r="E66" s="31"/>
      <c r="F66" s="11"/>
    </row>
    <row r="67" ht="15.75" customHeight="1">
      <c r="A67" s="96"/>
      <c r="B67" s="84"/>
      <c r="E67" s="31"/>
      <c r="F67" s="11"/>
    </row>
    <row r="68" ht="15.75" customHeight="1">
      <c r="A68" s="96"/>
      <c r="B68" s="84"/>
      <c r="E68" s="31"/>
      <c r="F68" s="11"/>
    </row>
    <row r="69" ht="15.75" customHeight="1">
      <c r="A69" s="96"/>
      <c r="B69" s="84"/>
      <c r="E69" s="31"/>
      <c r="F69" s="11"/>
    </row>
    <row r="70" ht="15.75" customHeight="1">
      <c r="A70" s="96"/>
      <c r="B70" s="84"/>
      <c r="E70" s="31"/>
      <c r="F70" s="11"/>
    </row>
    <row r="71" ht="15.75" customHeight="1">
      <c r="A71" s="96"/>
      <c r="B71" s="84"/>
      <c r="E71" s="31"/>
      <c r="F71" s="11"/>
    </row>
    <row r="72" ht="15.75" customHeight="1">
      <c r="A72" s="96"/>
      <c r="B72" s="84"/>
      <c r="E72" s="31"/>
      <c r="F72" s="11"/>
    </row>
    <row r="73" ht="15.75" customHeight="1">
      <c r="A73" s="96"/>
      <c r="B73" s="84"/>
      <c r="E73" s="31"/>
      <c r="F73" s="11"/>
    </row>
    <row r="74" ht="15.75" customHeight="1">
      <c r="A74" s="96"/>
      <c r="B74" s="84"/>
      <c r="E74" s="31"/>
      <c r="F74" s="11"/>
    </row>
    <row r="75" ht="15.75" customHeight="1">
      <c r="A75" s="96"/>
      <c r="B75" s="84"/>
      <c r="E75" s="31"/>
      <c r="F75" s="11"/>
    </row>
    <row r="76" ht="15.75" customHeight="1">
      <c r="A76" s="96"/>
      <c r="B76" s="84"/>
      <c r="E76" s="31"/>
      <c r="F76" s="11"/>
    </row>
    <row r="77" ht="15.75" customHeight="1">
      <c r="A77" s="96"/>
      <c r="B77" s="84"/>
      <c r="E77" s="31"/>
      <c r="F77" s="11"/>
    </row>
    <row r="78" ht="15.75" customHeight="1">
      <c r="A78" s="96"/>
      <c r="B78" s="84"/>
      <c r="E78" s="31"/>
      <c r="F78" s="11"/>
    </row>
    <row r="79" ht="15.75" customHeight="1">
      <c r="A79" s="96"/>
      <c r="B79" s="84"/>
      <c r="E79" s="31"/>
      <c r="F79" s="11"/>
    </row>
    <row r="80" ht="15.75" customHeight="1">
      <c r="A80" s="96"/>
      <c r="B80" s="84"/>
      <c r="E80" s="31"/>
      <c r="F80" s="11"/>
    </row>
    <row r="81" ht="15.75" customHeight="1">
      <c r="A81" s="96"/>
      <c r="B81" s="84"/>
      <c r="E81" s="31"/>
      <c r="F81" s="11"/>
    </row>
    <row r="82" ht="15.75" customHeight="1">
      <c r="A82" s="96"/>
      <c r="B82" s="84"/>
      <c r="E82" s="31"/>
      <c r="F82" s="11"/>
    </row>
    <row r="83" ht="15.75" customHeight="1">
      <c r="A83" s="96"/>
      <c r="B83" s="84"/>
      <c r="E83" s="31"/>
      <c r="F83" s="11"/>
    </row>
    <row r="84" ht="15.75" customHeight="1">
      <c r="A84" s="96"/>
      <c r="B84" s="84"/>
      <c r="E84" s="31"/>
      <c r="F84" s="11"/>
    </row>
    <row r="85" ht="15.75" customHeight="1">
      <c r="A85" s="96"/>
      <c r="B85" s="84"/>
      <c r="E85" s="31"/>
      <c r="F85" s="11"/>
    </row>
    <row r="86" ht="15.75" customHeight="1">
      <c r="A86" s="96"/>
      <c r="B86" s="84"/>
      <c r="E86" s="31"/>
      <c r="F86" s="11"/>
    </row>
    <row r="87" ht="15.75" customHeight="1">
      <c r="A87" s="96"/>
      <c r="B87" s="84"/>
      <c r="E87" s="31"/>
      <c r="F87" s="11"/>
    </row>
    <row r="88" ht="15.75" customHeight="1">
      <c r="A88" s="96"/>
      <c r="B88" s="84"/>
      <c r="E88" s="31"/>
      <c r="F88" s="11"/>
    </row>
    <row r="89" ht="15.75" customHeight="1">
      <c r="A89" s="96"/>
      <c r="B89" s="84"/>
      <c r="E89" s="31"/>
      <c r="F89" s="11"/>
    </row>
    <row r="90" ht="15.75" customHeight="1">
      <c r="A90" s="96"/>
      <c r="B90" s="84"/>
      <c r="E90" s="31"/>
      <c r="F90" s="11"/>
    </row>
    <row r="91" ht="15.75" customHeight="1">
      <c r="A91" s="96"/>
      <c r="B91" s="84"/>
      <c r="E91" s="31"/>
      <c r="F91" s="11"/>
    </row>
    <row r="92" ht="15.75" customHeight="1">
      <c r="A92" s="96"/>
      <c r="B92" s="84"/>
      <c r="E92" s="31"/>
      <c r="F92" s="11"/>
    </row>
    <row r="93" ht="15.75" customHeight="1">
      <c r="A93" s="96"/>
      <c r="B93" s="84"/>
      <c r="E93" s="31"/>
      <c r="F93" s="11"/>
    </row>
    <row r="94" ht="15.75" customHeight="1">
      <c r="A94" s="96"/>
      <c r="B94" s="84"/>
      <c r="E94" s="31"/>
      <c r="F94" s="11"/>
    </row>
    <row r="95" ht="15.75" customHeight="1">
      <c r="A95" s="96"/>
      <c r="B95" s="84"/>
      <c r="E95" s="31"/>
      <c r="F95" s="11"/>
    </row>
    <row r="96" ht="15.75" customHeight="1">
      <c r="A96" s="96"/>
      <c r="B96" s="84"/>
      <c r="E96" s="31"/>
      <c r="F96" s="11"/>
    </row>
    <row r="97" ht="15.75" customHeight="1">
      <c r="A97" s="96"/>
      <c r="B97" s="84"/>
      <c r="E97" s="31"/>
      <c r="F97" s="11"/>
    </row>
    <row r="98" ht="15.75" customHeight="1">
      <c r="A98" s="96"/>
      <c r="B98" s="84"/>
      <c r="E98" s="31"/>
      <c r="F98" s="11"/>
    </row>
    <row r="99" ht="15.75" customHeight="1">
      <c r="A99" s="96"/>
      <c r="B99" s="84"/>
      <c r="E99" s="31"/>
      <c r="F99" s="11"/>
    </row>
    <row r="100" ht="15.75" customHeight="1">
      <c r="A100" s="96"/>
      <c r="B100" s="84"/>
      <c r="E100" s="31"/>
      <c r="F100" s="11"/>
    </row>
    <row r="101" ht="15.75" customHeight="1">
      <c r="A101" s="96"/>
      <c r="B101" s="84"/>
      <c r="E101" s="31"/>
      <c r="F101" s="11"/>
    </row>
    <row r="102" ht="15.75" customHeight="1">
      <c r="A102" s="96"/>
      <c r="B102" s="84"/>
      <c r="E102" s="31"/>
      <c r="F102" s="11"/>
    </row>
    <row r="103" ht="15.75" customHeight="1">
      <c r="A103" s="96"/>
      <c r="B103" s="84"/>
      <c r="E103" s="31"/>
      <c r="F103" s="11"/>
    </row>
    <row r="104" ht="15.75" customHeight="1">
      <c r="A104" s="96"/>
      <c r="B104" s="84"/>
      <c r="E104" s="31"/>
      <c r="F104" s="11"/>
    </row>
    <row r="105" ht="15.75" customHeight="1">
      <c r="A105" s="96"/>
      <c r="B105" s="84"/>
      <c r="E105" s="31"/>
      <c r="F105" s="11"/>
    </row>
    <row r="106" ht="15.75" customHeight="1">
      <c r="A106" s="96"/>
      <c r="B106" s="84"/>
      <c r="E106" s="31"/>
      <c r="F106" s="11"/>
    </row>
    <row r="107" ht="15.75" customHeight="1">
      <c r="A107" s="96"/>
      <c r="B107" s="84"/>
      <c r="E107" s="31"/>
      <c r="F107" s="11"/>
    </row>
    <row r="108" ht="15.75" customHeight="1">
      <c r="A108" s="96"/>
      <c r="B108" s="84"/>
      <c r="E108" s="31"/>
      <c r="F108" s="11"/>
    </row>
    <row r="109" ht="15.75" customHeight="1">
      <c r="A109" s="96"/>
      <c r="B109" s="84"/>
      <c r="E109" s="31"/>
      <c r="F109" s="11"/>
    </row>
    <row r="110" ht="15.75" customHeight="1">
      <c r="A110" s="96"/>
      <c r="B110" s="84"/>
      <c r="E110" s="31"/>
      <c r="F110" s="11"/>
    </row>
    <row r="111" ht="15.75" customHeight="1">
      <c r="A111" s="96"/>
      <c r="B111" s="84"/>
      <c r="E111" s="31"/>
      <c r="F111" s="11"/>
    </row>
    <row r="112" ht="15.75" customHeight="1">
      <c r="A112" s="96"/>
      <c r="B112" s="84"/>
      <c r="E112" s="31"/>
      <c r="F112" s="11"/>
    </row>
    <row r="113" ht="15.75" customHeight="1">
      <c r="A113" s="96"/>
      <c r="B113" s="84"/>
      <c r="E113" s="31"/>
      <c r="F113" s="11"/>
    </row>
    <row r="114" ht="15.75" customHeight="1">
      <c r="A114" s="96"/>
      <c r="B114" s="84"/>
      <c r="E114" s="31"/>
      <c r="F114" s="11"/>
    </row>
    <row r="115" ht="15.75" customHeight="1">
      <c r="A115" s="96"/>
      <c r="B115" s="84"/>
      <c r="E115" s="31"/>
      <c r="F115" s="11"/>
    </row>
    <row r="116" ht="15.75" customHeight="1">
      <c r="A116" s="96"/>
      <c r="B116" s="84"/>
      <c r="E116" s="31"/>
      <c r="F116" s="11"/>
    </row>
    <row r="117" ht="15.75" customHeight="1">
      <c r="A117" s="96"/>
      <c r="B117" s="84"/>
      <c r="E117" s="31"/>
      <c r="F117" s="11"/>
    </row>
    <row r="118" ht="15.75" customHeight="1">
      <c r="A118" s="96"/>
      <c r="B118" s="84"/>
      <c r="E118" s="31"/>
      <c r="F118" s="11"/>
    </row>
    <row r="119" ht="15.75" customHeight="1">
      <c r="A119" s="96"/>
      <c r="B119" s="84"/>
      <c r="E119" s="31"/>
      <c r="F119" s="11"/>
    </row>
    <row r="120" ht="15.75" customHeight="1">
      <c r="A120" s="96"/>
      <c r="B120" s="84"/>
      <c r="E120" s="31"/>
      <c r="F120" s="11"/>
    </row>
    <row r="121" ht="15.75" customHeight="1">
      <c r="A121" s="96"/>
      <c r="B121" s="84"/>
      <c r="E121" s="31"/>
      <c r="F121" s="11"/>
    </row>
    <row r="122" ht="15.75" customHeight="1">
      <c r="A122" s="96"/>
      <c r="B122" s="84"/>
      <c r="E122" s="31"/>
      <c r="F122" s="11"/>
    </row>
    <row r="123" ht="15.75" customHeight="1">
      <c r="A123" s="96"/>
      <c r="B123" s="84"/>
      <c r="E123" s="31"/>
      <c r="F123" s="11"/>
    </row>
    <row r="124" ht="15.75" customHeight="1">
      <c r="A124" s="96"/>
      <c r="B124" s="84"/>
      <c r="E124" s="31"/>
      <c r="F124" s="11"/>
    </row>
    <row r="125" ht="15.75" customHeight="1">
      <c r="A125" s="96"/>
      <c r="B125" s="84"/>
      <c r="E125" s="31"/>
      <c r="F125" s="11"/>
    </row>
    <row r="126" ht="15.75" customHeight="1">
      <c r="A126" s="96"/>
      <c r="B126" s="84"/>
      <c r="E126" s="31"/>
      <c r="F126" s="11"/>
    </row>
    <row r="127" ht="15.75" customHeight="1">
      <c r="A127" s="96"/>
      <c r="B127" s="84"/>
      <c r="E127" s="31"/>
      <c r="F127" s="11"/>
    </row>
    <row r="128" ht="15.75" customHeight="1">
      <c r="A128" s="96"/>
      <c r="B128" s="84"/>
      <c r="E128" s="31"/>
      <c r="F128" s="11"/>
    </row>
    <row r="129" ht="15.75" customHeight="1">
      <c r="A129" s="96"/>
      <c r="B129" s="84"/>
      <c r="E129" s="31"/>
      <c r="F129" s="11"/>
    </row>
    <row r="130" ht="15.75" customHeight="1">
      <c r="A130" s="96"/>
      <c r="B130" s="84"/>
      <c r="E130" s="31"/>
      <c r="F130" s="11"/>
    </row>
    <row r="131" ht="15.75" customHeight="1">
      <c r="A131" s="96"/>
      <c r="B131" s="84"/>
      <c r="E131" s="31"/>
      <c r="F131" s="11"/>
    </row>
    <row r="132" ht="15.75" customHeight="1">
      <c r="A132" s="96"/>
      <c r="B132" s="84"/>
      <c r="E132" s="31"/>
      <c r="F132" s="11"/>
    </row>
    <row r="133" ht="15.75" customHeight="1">
      <c r="A133" s="96"/>
      <c r="B133" s="84"/>
      <c r="E133" s="31"/>
      <c r="F133" s="11"/>
    </row>
    <row r="134" ht="15.75" customHeight="1">
      <c r="A134" s="96"/>
      <c r="B134" s="84"/>
      <c r="E134" s="31"/>
      <c r="F134" s="11"/>
    </row>
    <row r="135" ht="15.75" customHeight="1">
      <c r="A135" s="96"/>
      <c r="B135" s="84"/>
      <c r="E135" s="31"/>
      <c r="F135" s="11"/>
    </row>
    <row r="136" ht="15.75" customHeight="1">
      <c r="A136" s="96"/>
      <c r="B136" s="84"/>
      <c r="E136" s="31"/>
      <c r="F136" s="11"/>
    </row>
    <row r="137" ht="15.75" customHeight="1">
      <c r="A137" s="96"/>
      <c r="B137" s="84"/>
      <c r="E137" s="31"/>
      <c r="F137" s="11"/>
    </row>
    <row r="138" ht="15.75" customHeight="1">
      <c r="A138" s="96"/>
      <c r="B138" s="84"/>
      <c r="E138" s="31"/>
      <c r="F138" s="11"/>
    </row>
    <row r="139" ht="15.75" customHeight="1">
      <c r="A139" s="96"/>
      <c r="B139" s="84"/>
      <c r="E139" s="31"/>
      <c r="F139" s="11"/>
    </row>
    <row r="140" ht="15.75" customHeight="1">
      <c r="A140" s="96"/>
      <c r="B140" s="84"/>
      <c r="E140" s="31"/>
      <c r="F140" s="11"/>
    </row>
    <row r="141" ht="15.75" customHeight="1">
      <c r="A141" s="96"/>
      <c r="B141" s="84"/>
      <c r="E141" s="31"/>
      <c r="F141" s="11"/>
    </row>
    <row r="142" ht="15.75" customHeight="1">
      <c r="A142" s="96"/>
      <c r="B142" s="84"/>
      <c r="E142" s="31"/>
      <c r="F142" s="11"/>
    </row>
    <row r="143" ht="15.75" customHeight="1">
      <c r="A143" s="96"/>
      <c r="B143" s="84"/>
      <c r="E143" s="31"/>
      <c r="F143" s="11"/>
    </row>
    <row r="144" ht="15.75" customHeight="1">
      <c r="A144" s="96"/>
      <c r="B144" s="84"/>
      <c r="E144" s="31"/>
      <c r="F144" s="11"/>
    </row>
    <row r="145" ht="15.75" customHeight="1">
      <c r="A145" s="96"/>
      <c r="B145" s="84"/>
      <c r="E145" s="31"/>
      <c r="F145" s="11"/>
    </row>
    <row r="146" ht="15.75" customHeight="1">
      <c r="A146" s="96"/>
      <c r="B146" s="84"/>
      <c r="E146" s="31"/>
      <c r="F146" s="11"/>
    </row>
    <row r="147" ht="15.75" customHeight="1">
      <c r="A147" s="96"/>
      <c r="B147" s="84"/>
      <c r="E147" s="31"/>
      <c r="F147" s="11"/>
    </row>
    <row r="148" ht="15.75" customHeight="1">
      <c r="A148" s="96"/>
      <c r="B148" s="84"/>
      <c r="E148" s="31"/>
      <c r="F148" s="11"/>
    </row>
    <row r="149" ht="15.75" customHeight="1">
      <c r="A149" s="96"/>
      <c r="B149" s="84"/>
      <c r="E149" s="31"/>
      <c r="F149" s="11"/>
    </row>
    <row r="150" ht="15.75" customHeight="1">
      <c r="A150" s="96"/>
      <c r="B150" s="84"/>
      <c r="E150" s="31"/>
      <c r="F150" s="11"/>
    </row>
    <row r="151" ht="15.75" customHeight="1">
      <c r="A151" s="96"/>
      <c r="B151" s="84"/>
      <c r="E151" s="31"/>
      <c r="F151" s="11"/>
    </row>
    <row r="152" ht="15.75" customHeight="1">
      <c r="A152" s="96"/>
      <c r="B152" s="84"/>
      <c r="E152" s="31"/>
      <c r="F152" s="11"/>
    </row>
    <row r="153" ht="15.75" customHeight="1">
      <c r="A153" s="96"/>
      <c r="B153" s="84"/>
      <c r="E153" s="31"/>
      <c r="F153" s="11"/>
    </row>
    <row r="154" ht="15.75" customHeight="1">
      <c r="A154" s="96"/>
      <c r="B154" s="84"/>
      <c r="E154" s="31"/>
      <c r="F154" s="11"/>
    </row>
    <row r="155" ht="15.75" customHeight="1">
      <c r="A155" s="96"/>
      <c r="B155" s="84"/>
      <c r="E155" s="31"/>
      <c r="F155" s="11"/>
    </row>
    <row r="156" ht="15.75" customHeight="1">
      <c r="A156" s="96"/>
      <c r="B156" s="84"/>
      <c r="E156" s="31"/>
      <c r="F156" s="11"/>
    </row>
    <row r="157" ht="15.75" customHeight="1">
      <c r="A157" s="96"/>
      <c r="B157" s="84"/>
      <c r="E157" s="31"/>
      <c r="F157" s="11"/>
    </row>
    <row r="158" ht="15.75" customHeight="1">
      <c r="A158" s="96"/>
      <c r="B158" s="84"/>
      <c r="E158" s="31"/>
      <c r="F158" s="11"/>
    </row>
    <row r="159" ht="15.75" customHeight="1">
      <c r="A159" s="96"/>
      <c r="B159" s="84"/>
      <c r="E159" s="31"/>
      <c r="F159" s="11"/>
    </row>
    <row r="160" ht="15.75" customHeight="1">
      <c r="A160" s="96"/>
      <c r="B160" s="84"/>
      <c r="E160" s="31"/>
      <c r="F160" s="11"/>
    </row>
    <row r="161" ht="15.75" customHeight="1">
      <c r="A161" s="96"/>
      <c r="B161" s="84"/>
      <c r="E161" s="31"/>
      <c r="F161" s="11"/>
    </row>
    <row r="162" ht="15.75" customHeight="1">
      <c r="A162" s="96"/>
      <c r="B162" s="84"/>
      <c r="E162" s="31"/>
      <c r="F162" s="11"/>
    </row>
    <row r="163" ht="15.75" customHeight="1">
      <c r="A163" s="96"/>
      <c r="B163" s="84"/>
      <c r="E163" s="31"/>
      <c r="F163" s="11"/>
    </row>
    <row r="164" ht="15.75" customHeight="1">
      <c r="A164" s="96"/>
      <c r="B164" s="84"/>
      <c r="E164" s="31"/>
      <c r="F164" s="11"/>
    </row>
    <row r="165" ht="15.75" customHeight="1">
      <c r="A165" s="96"/>
      <c r="B165" s="84"/>
      <c r="E165" s="31"/>
      <c r="F165" s="11"/>
    </row>
    <row r="166" ht="15.75" customHeight="1">
      <c r="A166" s="96"/>
      <c r="B166" s="84"/>
      <c r="E166" s="31"/>
      <c r="F166" s="11"/>
    </row>
    <row r="167" ht="15.75" customHeight="1">
      <c r="A167" s="96"/>
      <c r="B167" s="84"/>
      <c r="E167" s="31"/>
      <c r="F167" s="11"/>
    </row>
    <row r="168" ht="15.75" customHeight="1">
      <c r="A168" s="96"/>
      <c r="B168" s="84"/>
      <c r="E168" s="31"/>
      <c r="F168" s="11"/>
    </row>
    <row r="169" ht="15.75" customHeight="1">
      <c r="A169" s="96"/>
      <c r="B169" s="84"/>
      <c r="E169" s="31"/>
      <c r="F169" s="11"/>
    </row>
    <row r="170" ht="15.75" customHeight="1">
      <c r="A170" s="96"/>
      <c r="B170" s="84"/>
      <c r="E170" s="31"/>
      <c r="F170" s="11"/>
    </row>
    <row r="171" ht="15.75" customHeight="1">
      <c r="A171" s="96"/>
      <c r="B171" s="84"/>
      <c r="E171" s="31"/>
      <c r="F171" s="11"/>
    </row>
    <row r="172" ht="15.75" customHeight="1">
      <c r="A172" s="96"/>
      <c r="B172" s="84"/>
      <c r="E172" s="31"/>
      <c r="F172" s="11"/>
    </row>
    <row r="173" ht="15.75" customHeight="1">
      <c r="A173" s="96"/>
      <c r="B173" s="84"/>
      <c r="E173" s="31"/>
      <c r="F173" s="11"/>
    </row>
    <row r="174" ht="15.75" customHeight="1">
      <c r="A174" s="96"/>
      <c r="B174" s="84"/>
      <c r="E174" s="31"/>
      <c r="F174" s="11"/>
    </row>
    <row r="175" ht="15.75" customHeight="1">
      <c r="A175" s="96"/>
      <c r="B175" s="84"/>
      <c r="E175" s="31"/>
      <c r="F175" s="11"/>
    </row>
    <row r="176" ht="15.75" customHeight="1">
      <c r="A176" s="96"/>
      <c r="B176" s="84"/>
      <c r="E176" s="31"/>
      <c r="F176" s="11"/>
    </row>
    <row r="177" ht="15.75" customHeight="1">
      <c r="A177" s="96"/>
      <c r="B177" s="84"/>
      <c r="E177" s="31"/>
      <c r="F177" s="11"/>
    </row>
    <row r="178" ht="15.75" customHeight="1">
      <c r="A178" s="96"/>
      <c r="B178" s="84"/>
      <c r="E178" s="31"/>
      <c r="F178" s="11"/>
    </row>
    <row r="179" ht="15.75" customHeight="1">
      <c r="A179" s="96"/>
      <c r="B179" s="84"/>
      <c r="E179" s="31"/>
      <c r="F179" s="11"/>
    </row>
    <row r="180" ht="15.75" customHeight="1">
      <c r="A180" s="96"/>
      <c r="B180" s="84"/>
      <c r="E180" s="31"/>
      <c r="F180" s="11"/>
    </row>
    <row r="181" ht="15.75" customHeight="1">
      <c r="A181" s="96"/>
      <c r="B181" s="84"/>
      <c r="E181" s="31"/>
      <c r="F181" s="11"/>
    </row>
    <row r="182" ht="15.75" customHeight="1">
      <c r="A182" s="96"/>
      <c r="B182" s="84"/>
      <c r="E182" s="31"/>
      <c r="F182" s="11"/>
    </row>
    <row r="183" ht="15.75" customHeight="1">
      <c r="A183" s="96"/>
      <c r="B183" s="84"/>
      <c r="E183" s="31"/>
      <c r="F183" s="11"/>
    </row>
    <row r="184" ht="15.75" customHeight="1">
      <c r="A184" s="96"/>
      <c r="B184" s="84"/>
      <c r="E184" s="31"/>
      <c r="F184" s="11"/>
    </row>
    <row r="185" ht="15.75" customHeight="1">
      <c r="A185" s="96"/>
      <c r="B185" s="84"/>
      <c r="E185" s="31"/>
      <c r="F185" s="11"/>
    </row>
    <row r="186" ht="15.75" customHeight="1">
      <c r="A186" s="96"/>
      <c r="B186" s="84"/>
      <c r="E186" s="31"/>
      <c r="F186" s="11"/>
    </row>
    <row r="187" ht="15.75" customHeight="1">
      <c r="A187" s="96"/>
      <c r="B187" s="84"/>
      <c r="E187" s="31"/>
      <c r="F187" s="11"/>
    </row>
    <row r="188" ht="15.75" customHeight="1">
      <c r="A188" s="96"/>
      <c r="B188" s="84"/>
      <c r="E188" s="31"/>
      <c r="F188" s="11"/>
    </row>
    <row r="189" ht="15.75" customHeight="1">
      <c r="A189" s="96"/>
      <c r="B189" s="84"/>
      <c r="E189" s="31"/>
      <c r="F189" s="11"/>
    </row>
    <row r="190" ht="15.75" customHeight="1">
      <c r="A190" s="96"/>
      <c r="B190" s="84"/>
      <c r="E190" s="31"/>
      <c r="F190" s="11"/>
    </row>
    <row r="191" ht="15.75" customHeight="1">
      <c r="A191" s="96"/>
      <c r="B191" s="84"/>
      <c r="E191" s="31"/>
      <c r="F191" s="11"/>
    </row>
    <row r="192" ht="15.75" customHeight="1">
      <c r="A192" s="96"/>
      <c r="B192" s="84"/>
      <c r="E192" s="31"/>
      <c r="F192" s="11"/>
    </row>
    <row r="193" ht="15.75" customHeight="1">
      <c r="A193" s="96"/>
      <c r="B193" s="84"/>
      <c r="E193" s="31"/>
      <c r="F193" s="11"/>
    </row>
    <row r="194" ht="15.75" customHeight="1">
      <c r="A194" s="96"/>
      <c r="B194" s="84"/>
      <c r="E194" s="31"/>
      <c r="F194" s="11"/>
    </row>
    <row r="195" ht="15.75" customHeight="1">
      <c r="A195" s="96"/>
      <c r="B195" s="84"/>
      <c r="E195" s="31"/>
      <c r="F195" s="11"/>
    </row>
    <row r="196" ht="15.75" customHeight="1">
      <c r="A196" s="96"/>
      <c r="B196" s="84"/>
      <c r="E196" s="31"/>
      <c r="F196" s="11"/>
    </row>
    <row r="197" ht="15.75" customHeight="1">
      <c r="A197" s="96"/>
      <c r="B197" s="84"/>
      <c r="E197" s="31"/>
      <c r="F197" s="11"/>
    </row>
    <row r="198" ht="15.75" customHeight="1">
      <c r="A198" s="96"/>
      <c r="B198" s="84"/>
      <c r="E198" s="31"/>
      <c r="F198" s="11"/>
    </row>
    <row r="199" ht="15.75" customHeight="1">
      <c r="A199" s="96"/>
      <c r="B199" s="84"/>
      <c r="E199" s="31"/>
      <c r="F199" s="11"/>
    </row>
    <row r="200" ht="15.75" customHeight="1">
      <c r="A200" s="96"/>
      <c r="B200" s="84"/>
      <c r="E200" s="31"/>
      <c r="F200" s="11"/>
    </row>
    <row r="201" ht="15.75" customHeight="1">
      <c r="A201" s="96"/>
      <c r="B201" s="84"/>
      <c r="E201" s="31"/>
      <c r="F201" s="11"/>
    </row>
    <row r="202" ht="15.75" customHeight="1">
      <c r="A202" s="96"/>
      <c r="B202" s="84"/>
      <c r="E202" s="31"/>
      <c r="F202" s="11"/>
    </row>
    <row r="203" ht="15.75" customHeight="1">
      <c r="A203" s="96"/>
      <c r="B203" s="84"/>
      <c r="E203" s="31"/>
      <c r="F203" s="11"/>
    </row>
    <row r="204" ht="15.75" customHeight="1">
      <c r="A204" s="96"/>
      <c r="B204" s="84"/>
      <c r="E204" s="31"/>
      <c r="F204" s="11"/>
    </row>
    <row r="205" ht="15.75" customHeight="1">
      <c r="A205" s="96"/>
      <c r="B205" s="84"/>
      <c r="E205" s="31"/>
      <c r="F205" s="11"/>
    </row>
    <row r="206" ht="15.75" customHeight="1">
      <c r="A206" s="96"/>
      <c r="B206" s="84"/>
      <c r="E206" s="31"/>
      <c r="F206" s="11"/>
    </row>
    <row r="207" ht="15.75" customHeight="1">
      <c r="A207" s="96"/>
      <c r="B207" s="84"/>
      <c r="E207" s="31"/>
      <c r="F207" s="11"/>
    </row>
    <row r="208" ht="15.75" customHeight="1">
      <c r="A208" s="96"/>
      <c r="B208" s="84"/>
      <c r="E208" s="31"/>
      <c r="F208" s="11"/>
    </row>
    <row r="209" ht="15.75" customHeight="1">
      <c r="A209" s="96"/>
      <c r="B209" s="84"/>
      <c r="E209" s="31"/>
      <c r="F209" s="11"/>
    </row>
    <row r="210" ht="15.75" customHeight="1">
      <c r="A210" s="96"/>
      <c r="B210" s="84"/>
      <c r="E210" s="31"/>
      <c r="F210" s="11"/>
    </row>
    <row r="211" ht="15.75" customHeight="1">
      <c r="A211" s="96"/>
      <c r="B211" s="84"/>
      <c r="E211" s="31"/>
      <c r="F211" s="11"/>
    </row>
    <row r="212" ht="15.75" customHeight="1">
      <c r="A212" s="96"/>
      <c r="B212" s="84"/>
      <c r="E212" s="31"/>
      <c r="F212" s="11"/>
    </row>
    <row r="213" ht="15.75" customHeight="1">
      <c r="A213" s="96"/>
      <c r="B213" s="84"/>
      <c r="E213" s="31"/>
      <c r="F213" s="11"/>
    </row>
    <row r="214" ht="15.75" customHeight="1">
      <c r="A214" s="96"/>
      <c r="B214" s="84"/>
      <c r="E214" s="31"/>
      <c r="F214" s="11"/>
    </row>
    <row r="215" ht="15.75" customHeight="1">
      <c r="A215" s="96"/>
      <c r="B215" s="84"/>
      <c r="E215" s="31"/>
      <c r="F215" s="11"/>
    </row>
    <row r="216" ht="15.75" customHeight="1">
      <c r="A216" s="96"/>
      <c r="B216" s="84"/>
      <c r="E216" s="31"/>
      <c r="F216" s="11"/>
    </row>
    <row r="217" ht="15.75" customHeight="1">
      <c r="A217" s="96"/>
      <c r="B217" s="84"/>
      <c r="E217" s="31"/>
      <c r="F217" s="11"/>
    </row>
    <row r="218" ht="15.75" customHeight="1">
      <c r="A218" s="96"/>
      <c r="B218" s="84"/>
      <c r="E218" s="31"/>
      <c r="F218" s="11"/>
    </row>
    <row r="219" ht="15.75" customHeight="1">
      <c r="A219" s="96"/>
      <c r="B219" s="84"/>
      <c r="E219" s="31"/>
      <c r="F219" s="11"/>
    </row>
    <row r="220" ht="15.75" customHeight="1">
      <c r="A220" s="96"/>
      <c r="B220" s="84"/>
      <c r="E220" s="31"/>
      <c r="F220" s="11"/>
    </row>
    <row r="221" ht="15.75" customHeight="1">
      <c r="B221" s="11"/>
      <c r="F221" s="11"/>
    </row>
    <row r="222" ht="15.75" customHeight="1">
      <c r="B222" s="11"/>
      <c r="F222" s="11"/>
    </row>
    <row r="223" ht="15.75" customHeight="1">
      <c r="B223" s="11"/>
      <c r="F223" s="11"/>
    </row>
    <row r="224" ht="15.75" customHeight="1">
      <c r="B224" s="11"/>
      <c r="F224" s="11"/>
    </row>
    <row r="225" ht="15.75" customHeight="1">
      <c r="B225" s="11"/>
      <c r="F225" s="11"/>
    </row>
    <row r="226" ht="15.75" customHeight="1">
      <c r="B226" s="11"/>
      <c r="F226" s="11"/>
    </row>
    <row r="227" ht="15.75" customHeight="1">
      <c r="B227" s="11"/>
      <c r="F227" s="11"/>
    </row>
    <row r="228" ht="15.75" customHeight="1">
      <c r="B228" s="11"/>
      <c r="F228" s="11"/>
    </row>
    <row r="229" ht="15.75" customHeight="1">
      <c r="B229" s="11"/>
      <c r="F229" s="11"/>
    </row>
    <row r="230" ht="15.75" customHeight="1">
      <c r="B230" s="11"/>
      <c r="F230" s="11"/>
    </row>
    <row r="231" ht="15.75" customHeight="1">
      <c r="B231" s="11"/>
      <c r="F231" s="11"/>
    </row>
    <row r="232" ht="15.75" customHeight="1">
      <c r="B232" s="11"/>
      <c r="F232" s="11"/>
    </row>
    <row r="233" ht="15.75" customHeight="1">
      <c r="B233" s="11"/>
      <c r="F233" s="11"/>
    </row>
    <row r="234" ht="15.75" customHeight="1">
      <c r="B234" s="11"/>
      <c r="F234" s="11"/>
    </row>
    <row r="235" ht="15.75" customHeight="1">
      <c r="B235" s="11"/>
      <c r="F235" s="11"/>
    </row>
    <row r="236" ht="15.75" customHeight="1">
      <c r="B236" s="11"/>
      <c r="F236" s="11"/>
    </row>
    <row r="237" ht="15.75" customHeight="1">
      <c r="B237" s="11"/>
      <c r="F237" s="11"/>
    </row>
    <row r="238" ht="15.75" customHeight="1">
      <c r="B238" s="11"/>
      <c r="F238" s="11"/>
    </row>
    <row r="239" ht="15.75" customHeight="1">
      <c r="B239" s="11"/>
      <c r="F239" s="11"/>
    </row>
    <row r="240" ht="15.75" customHeight="1">
      <c r="B240" s="11"/>
      <c r="F240" s="11"/>
    </row>
    <row r="241" ht="15.75" customHeight="1">
      <c r="B241" s="11"/>
      <c r="F241" s="11"/>
    </row>
    <row r="242" ht="15.75" customHeight="1">
      <c r="B242" s="11"/>
      <c r="F242" s="11"/>
    </row>
    <row r="243" ht="15.75" customHeight="1">
      <c r="B243" s="11"/>
      <c r="F243" s="11"/>
    </row>
    <row r="244" ht="15.75" customHeight="1">
      <c r="B244" s="11"/>
      <c r="F244" s="11"/>
    </row>
    <row r="245" ht="15.75" customHeight="1">
      <c r="B245" s="11"/>
      <c r="F245" s="11"/>
    </row>
    <row r="246" ht="15.75" customHeight="1">
      <c r="B246" s="11"/>
      <c r="F246" s="11"/>
    </row>
    <row r="247" ht="15.75" customHeight="1">
      <c r="B247" s="11"/>
      <c r="F247" s="11"/>
    </row>
    <row r="248" ht="15.75" customHeight="1">
      <c r="B248" s="11"/>
      <c r="F248" s="11"/>
    </row>
    <row r="249" ht="15.75" customHeight="1">
      <c r="B249" s="11"/>
      <c r="F249" s="11"/>
    </row>
    <row r="250" ht="15.75" customHeight="1">
      <c r="B250" s="11"/>
      <c r="F250" s="11"/>
    </row>
    <row r="251" ht="15.75" customHeight="1">
      <c r="B251" s="11"/>
      <c r="F251" s="11"/>
    </row>
    <row r="252" ht="15.75" customHeight="1">
      <c r="B252" s="11"/>
      <c r="F252" s="11"/>
    </row>
    <row r="253" ht="15.75" customHeight="1">
      <c r="B253" s="11"/>
      <c r="F253" s="11"/>
    </row>
    <row r="254" ht="15.75" customHeight="1">
      <c r="B254" s="11"/>
      <c r="F254" s="11"/>
    </row>
    <row r="255" ht="15.75" customHeight="1">
      <c r="B255" s="11"/>
      <c r="F255" s="11"/>
    </row>
    <row r="256" ht="15.75" customHeight="1">
      <c r="B256" s="11"/>
      <c r="F256" s="11"/>
    </row>
    <row r="257" ht="15.75" customHeight="1">
      <c r="B257" s="11"/>
      <c r="F257" s="11"/>
    </row>
    <row r="258" ht="15.75" customHeight="1">
      <c r="B258" s="11"/>
      <c r="F258" s="11"/>
    </row>
    <row r="259" ht="15.75" customHeight="1">
      <c r="B259" s="11"/>
      <c r="F259" s="11"/>
    </row>
    <row r="260" ht="15.75" customHeight="1">
      <c r="B260" s="11"/>
      <c r="F260" s="11"/>
    </row>
    <row r="261" ht="15.75" customHeight="1">
      <c r="B261" s="11"/>
      <c r="F261" s="11"/>
    </row>
    <row r="262" ht="15.75" customHeight="1">
      <c r="B262" s="11"/>
      <c r="F262" s="11"/>
    </row>
    <row r="263" ht="15.75" customHeight="1">
      <c r="B263" s="11"/>
      <c r="F263" s="11"/>
    </row>
    <row r="264" ht="15.75" customHeight="1">
      <c r="B264" s="11"/>
      <c r="F264" s="11"/>
    </row>
    <row r="265" ht="15.75" customHeight="1">
      <c r="B265" s="11"/>
      <c r="F265" s="11"/>
    </row>
    <row r="266" ht="15.75" customHeight="1">
      <c r="B266" s="11"/>
      <c r="F266" s="11"/>
    </row>
    <row r="267" ht="15.75" customHeight="1">
      <c r="B267" s="11"/>
      <c r="F267" s="11"/>
    </row>
    <row r="268" ht="15.75" customHeight="1">
      <c r="B268" s="11"/>
      <c r="F268" s="11"/>
    </row>
    <row r="269" ht="15.75" customHeight="1">
      <c r="B269" s="11"/>
      <c r="F269" s="11"/>
    </row>
    <row r="270" ht="15.75" customHeight="1">
      <c r="B270" s="11"/>
      <c r="F270" s="11"/>
    </row>
    <row r="271" ht="15.75" customHeight="1">
      <c r="B271" s="11"/>
      <c r="F271" s="11"/>
    </row>
    <row r="272" ht="15.75" customHeight="1">
      <c r="B272" s="11"/>
      <c r="F272" s="11"/>
    </row>
    <row r="273" ht="15.75" customHeight="1">
      <c r="B273" s="11"/>
      <c r="F273" s="11"/>
    </row>
    <row r="274" ht="15.75" customHeight="1">
      <c r="B274" s="11"/>
      <c r="F274" s="11"/>
    </row>
    <row r="275" ht="15.75" customHeight="1">
      <c r="B275" s="11"/>
      <c r="F275" s="11"/>
    </row>
    <row r="276" ht="15.75" customHeight="1">
      <c r="B276" s="11"/>
      <c r="F276" s="11"/>
    </row>
    <row r="277" ht="15.75" customHeight="1">
      <c r="B277" s="11"/>
      <c r="F277" s="11"/>
    </row>
    <row r="278" ht="15.75" customHeight="1">
      <c r="B278" s="11"/>
      <c r="F278" s="11"/>
    </row>
    <row r="279" ht="15.75" customHeight="1">
      <c r="B279" s="11"/>
      <c r="F279" s="11"/>
    </row>
    <row r="280" ht="15.75" customHeight="1">
      <c r="B280" s="11"/>
      <c r="F280" s="11"/>
    </row>
    <row r="281" ht="15.75" customHeight="1">
      <c r="B281" s="11"/>
      <c r="F281" s="11"/>
    </row>
    <row r="282" ht="15.75" customHeight="1">
      <c r="B282" s="11"/>
      <c r="F282" s="11"/>
    </row>
    <row r="283" ht="15.75" customHeight="1">
      <c r="B283" s="11"/>
      <c r="F283" s="11"/>
    </row>
    <row r="284" ht="15.75" customHeight="1">
      <c r="B284" s="11"/>
      <c r="F284" s="11"/>
    </row>
    <row r="285" ht="15.75" customHeight="1">
      <c r="B285" s="11"/>
      <c r="F285" s="11"/>
    </row>
    <row r="286" ht="15.75" customHeight="1">
      <c r="B286" s="11"/>
      <c r="F286" s="11"/>
    </row>
    <row r="287" ht="15.75" customHeight="1">
      <c r="B287" s="11"/>
      <c r="F287" s="11"/>
    </row>
    <row r="288" ht="15.75" customHeight="1">
      <c r="B288" s="11"/>
      <c r="F288" s="11"/>
    </row>
    <row r="289" ht="15.75" customHeight="1">
      <c r="B289" s="11"/>
      <c r="F289" s="11"/>
    </row>
    <row r="290" ht="15.75" customHeight="1">
      <c r="B290" s="11"/>
      <c r="F290" s="11"/>
    </row>
    <row r="291" ht="15.75" customHeight="1">
      <c r="B291" s="11"/>
      <c r="F291" s="11"/>
    </row>
    <row r="292" ht="15.75" customHeight="1">
      <c r="B292" s="11"/>
      <c r="F292" s="11"/>
    </row>
    <row r="293" ht="15.75" customHeight="1">
      <c r="B293" s="11"/>
      <c r="F293" s="11"/>
    </row>
    <row r="294" ht="15.75" customHeight="1">
      <c r="B294" s="11"/>
      <c r="F294" s="11"/>
    </row>
    <row r="295" ht="15.75" customHeight="1">
      <c r="B295" s="11"/>
      <c r="F295" s="11"/>
    </row>
    <row r="296" ht="15.75" customHeight="1">
      <c r="B296" s="11"/>
      <c r="F296" s="11"/>
    </row>
    <row r="297" ht="15.75" customHeight="1">
      <c r="B297" s="11"/>
      <c r="F297" s="11"/>
    </row>
    <row r="298" ht="15.75" customHeight="1">
      <c r="B298" s="11"/>
      <c r="F298" s="11"/>
    </row>
    <row r="299" ht="15.75" customHeight="1">
      <c r="B299" s="11"/>
      <c r="F299" s="11"/>
    </row>
    <row r="300" ht="15.75" customHeight="1">
      <c r="B300" s="11"/>
      <c r="F300" s="11"/>
    </row>
    <row r="301" ht="15.75" customHeight="1">
      <c r="B301" s="11"/>
      <c r="F301" s="11"/>
    </row>
    <row r="302" ht="15.75" customHeight="1">
      <c r="B302" s="11"/>
      <c r="F302" s="11"/>
    </row>
    <row r="303" ht="15.75" customHeight="1">
      <c r="B303" s="11"/>
      <c r="F303" s="11"/>
    </row>
    <row r="304" ht="15.75" customHeight="1">
      <c r="B304" s="11"/>
      <c r="F304" s="11"/>
    </row>
    <row r="305" ht="15.75" customHeight="1">
      <c r="B305" s="11"/>
      <c r="F305" s="11"/>
    </row>
    <row r="306" ht="15.75" customHeight="1">
      <c r="B306" s="11"/>
      <c r="F306" s="11"/>
    </row>
    <row r="307" ht="15.75" customHeight="1">
      <c r="B307" s="11"/>
      <c r="F307" s="11"/>
    </row>
    <row r="308" ht="15.75" customHeight="1">
      <c r="B308" s="11"/>
      <c r="F308" s="11"/>
    </row>
    <row r="309" ht="15.75" customHeight="1">
      <c r="B309" s="11"/>
      <c r="F309" s="11"/>
    </row>
    <row r="310" ht="15.75" customHeight="1">
      <c r="B310" s="11"/>
      <c r="F310" s="11"/>
    </row>
    <row r="311" ht="15.75" customHeight="1">
      <c r="B311" s="11"/>
      <c r="F311" s="11"/>
    </row>
    <row r="312" ht="15.75" customHeight="1">
      <c r="B312" s="11"/>
      <c r="F312" s="11"/>
    </row>
    <row r="313" ht="15.75" customHeight="1">
      <c r="B313" s="11"/>
      <c r="F313" s="11"/>
    </row>
    <row r="314" ht="15.75" customHeight="1">
      <c r="B314" s="11"/>
      <c r="F314" s="11"/>
    </row>
    <row r="315" ht="15.75" customHeight="1">
      <c r="B315" s="11"/>
      <c r="F315" s="11"/>
    </row>
    <row r="316" ht="15.75" customHeight="1">
      <c r="B316" s="11"/>
      <c r="F316" s="11"/>
    </row>
    <row r="317" ht="15.75" customHeight="1">
      <c r="B317" s="11"/>
      <c r="F317" s="11"/>
    </row>
    <row r="318" ht="15.75" customHeight="1">
      <c r="B318" s="11"/>
      <c r="F318" s="11"/>
    </row>
    <row r="319" ht="15.75" customHeight="1">
      <c r="B319" s="11"/>
      <c r="F319" s="11"/>
    </row>
    <row r="320" ht="15.75" customHeight="1">
      <c r="B320" s="11"/>
      <c r="F320" s="11"/>
    </row>
    <row r="321" ht="15.75" customHeight="1">
      <c r="B321" s="11"/>
      <c r="F321" s="11"/>
    </row>
    <row r="322" ht="15.75" customHeight="1">
      <c r="B322" s="11"/>
      <c r="F322" s="11"/>
    </row>
    <row r="323" ht="15.75" customHeight="1">
      <c r="B323" s="11"/>
      <c r="F323" s="11"/>
    </row>
    <row r="324" ht="15.75" customHeight="1">
      <c r="B324" s="11"/>
      <c r="F324" s="11"/>
    </row>
    <row r="325" ht="15.75" customHeight="1">
      <c r="B325" s="11"/>
      <c r="F325" s="11"/>
    </row>
    <row r="326" ht="15.75" customHeight="1">
      <c r="B326" s="11"/>
      <c r="F326" s="11"/>
    </row>
    <row r="327" ht="15.75" customHeight="1">
      <c r="B327" s="11"/>
      <c r="F327" s="11"/>
    </row>
    <row r="328" ht="15.75" customHeight="1">
      <c r="B328" s="11"/>
      <c r="F328" s="11"/>
    </row>
    <row r="329" ht="15.75" customHeight="1">
      <c r="B329" s="11"/>
      <c r="F329" s="11"/>
    </row>
    <row r="330" ht="15.75" customHeight="1">
      <c r="B330" s="11"/>
      <c r="F330" s="11"/>
    </row>
    <row r="331" ht="15.75" customHeight="1">
      <c r="B331" s="11"/>
      <c r="F331" s="11"/>
    </row>
    <row r="332" ht="15.75" customHeight="1">
      <c r="B332" s="11"/>
      <c r="F332" s="11"/>
    </row>
    <row r="333" ht="15.75" customHeight="1">
      <c r="B333" s="11"/>
      <c r="F333" s="11"/>
    </row>
    <row r="334" ht="15.75" customHeight="1">
      <c r="B334" s="11"/>
      <c r="F334" s="11"/>
    </row>
    <row r="335" ht="15.75" customHeight="1">
      <c r="B335" s="11"/>
      <c r="F335" s="11"/>
    </row>
    <row r="336" ht="15.75" customHeight="1">
      <c r="B336" s="11"/>
      <c r="F336" s="11"/>
    </row>
    <row r="337" ht="15.75" customHeight="1">
      <c r="B337" s="11"/>
      <c r="F337" s="11"/>
    </row>
    <row r="338" ht="15.75" customHeight="1">
      <c r="B338" s="11"/>
      <c r="F338" s="11"/>
    </row>
    <row r="339" ht="15.75" customHeight="1">
      <c r="B339" s="11"/>
      <c r="F339" s="11"/>
    </row>
    <row r="340" ht="15.75" customHeight="1">
      <c r="B340" s="11"/>
      <c r="F340" s="11"/>
    </row>
    <row r="341" ht="15.75" customHeight="1">
      <c r="B341" s="11"/>
      <c r="F341" s="11"/>
    </row>
    <row r="342" ht="15.75" customHeight="1">
      <c r="B342" s="11"/>
      <c r="F342" s="11"/>
    </row>
    <row r="343" ht="15.75" customHeight="1">
      <c r="B343" s="11"/>
      <c r="F343" s="11"/>
    </row>
    <row r="344" ht="15.75" customHeight="1">
      <c r="B344" s="11"/>
      <c r="F344" s="11"/>
    </row>
    <row r="345" ht="15.75" customHeight="1">
      <c r="B345" s="11"/>
      <c r="F345" s="11"/>
    </row>
    <row r="346" ht="15.75" customHeight="1">
      <c r="B346" s="11"/>
      <c r="F346" s="11"/>
    </row>
    <row r="347" ht="15.75" customHeight="1">
      <c r="B347" s="11"/>
      <c r="F347" s="11"/>
    </row>
    <row r="348" ht="15.75" customHeight="1">
      <c r="B348" s="11"/>
      <c r="F348" s="11"/>
    </row>
    <row r="349" ht="15.75" customHeight="1">
      <c r="B349" s="11"/>
      <c r="F349" s="11"/>
    </row>
    <row r="350" ht="15.75" customHeight="1">
      <c r="B350" s="11"/>
      <c r="F350" s="11"/>
    </row>
    <row r="351" ht="15.75" customHeight="1">
      <c r="B351" s="11"/>
      <c r="F351" s="11"/>
    </row>
    <row r="352" ht="15.75" customHeight="1">
      <c r="B352" s="11"/>
      <c r="F352" s="11"/>
    </row>
    <row r="353" ht="15.75" customHeight="1">
      <c r="B353" s="11"/>
      <c r="F353" s="11"/>
    </row>
    <row r="354" ht="15.75" customHeight="1">
      <c r="B354" s="11"/>
      <c r="F354" s="11"/>
    </row>
    <row r="355" ht="15.75" customHeight="1">
      <c r="B355" s="11"/>
      <c r="F355" s="11"/>
    </row>
    <row r="356" ht="15.75" customHeight="1">
      <c r="B356" s="11"/>
      <c r="F356" s="11"/>
    </row>
    <row r="357" ht="15.75" customHeight="1">
      <c r="B357" s="11"/>
      <c r="F357" s="11"/>
    </row>
    <row r="358" ht="15.75" customHeight="1">
      <c r="B358" s="11"/>
      <c r="F358" s="11"/>
    </row>
    <row r="359" ht="15.75" customHeight="1">
      <c r="B359" s="11"/>
      <c r="F359" s="11"/>
    </row>
    <row r="360" ht="15.75" customHeight="1">
      <c r="B360" s="11"/>
      <c r="F360" s="11"/>
    </row>
    <row r="361" ht="15.75" customHeight="1">
      <c r="B361" s="11"/>
      <c r="F361" s="11"/>
    </row>
    <row r="362" ht="15.75" customHeight="1">
      <c r="B362" s="11"/>
      <c r="F362" s="11"/>
    </row>
    <row r="363" ht="15.75" customHeight="1">
      <c r="B363" s="11"/>
      <c r="F363" s="11"/>
    </row>
    <row r="364" ht="15.75" customHeight="1">
      <c r="B364" s="11"/>
      <c r="F364" s="11"/>
    </row>
    <row r="365" ht="15.75" customHeight="1">
      <c r="B365" s="11"/>
      <c r="F365" s="11"/>
    </row>
    <row r="366" ht="15.75" customHeight="1">
      <c r="B366" s="11"/>
      <c r="F366" s="11"/>
    </row>
    <row r="367" ht="15.75" customHeight="1">
      <c r="B367" s="11"/>
      <c r="F367" s="11"/>
    </row>
    <row r="368" ht="15.75" customHeight="1">
      <c r="B368" s="11"/>
      <c r="F368" s="11"/>
    </row>
    <row r="369" ht="15.75" customHeight="1">
      <c r="B369" s="11"/>
      <c r="F369" s="11"/>
    </row>
    <row r="370" ht="15.75" customHeight="1">
      <c r="B370" s="11"/>
      <c r="F370" s="11"/>
    </row>
    <row r="371" ht="15.75" customHeight="1">
      <c r="B371" s="11"/>
      <c r="F371" s="11"/>
    </row>
    <row r="372" ht="15.75" customHeight="1">
      <c r="B372" s="11"/>
      <c r="F372" s="11"/>
    </row>
    <row r="373" ht="15.75" customHeight="1">
      <c r="B373" s="11"/>
      <c r="F373" s="11"/>
    </row>
    <row r="374" ht="15.75" customHeight="1">
      <c r="B374" s="11"/>
      <c r="F374" s="11"/>
    </row>
    <row r="375" ht="15.75" customHeight="1">
      <c r="B375" s="11"/>
      <c r="F375" s="11"/>
    </row>
    <row r="376" ht="15.75" customHeight="1">
      <c r="B376" s="11"/>
      <c r="F376" s="11"/>
    </row>
    <row r="377" ht="15.75" customHeight="1">
      <c r="B377" s="11"/>
      <c r="F377" s="11"/>
    </row>
    <row r="378" ht="15.75" customHeight="1">
      <c r="B378" s="11"/>
      <c r="F378" s="11"/>
    </row>
    <row r="379" ht="15.75" customHeight="1">
      <c r="B379" s="11"/>
      <c r="F379" s="11"/>
    </row>
    <row r="380" ht="15.75" customHeight="1">
      <c r="B380" s="11"/>
      <c r="F380" s="11"/>
    </row>
    <row r="381" ht="15.75" customHeight="1">
      <c r="B381" s="11"/>
      <c r="F381" s="11"/>
    </row>
    <row r="382" ht="15.75" customHeight="1">
      <c r="B382" s="11"/>
      <c r="F382" s="11"/>
    </row>
    <row r="383" ht="15.75" customHeight="1">
      <c r="B383" s="11"/>
      <c r="F383" s="11"/>
    </row>
    <row r="384" ht="15.75" customHeight="1">
      <c r="B384" s="11"/>
      <c r="F384" s="11"/>
    </row>
    <row r="385" ht="15.75" customHeight="1">
      <c r="B385" s="11"/>
      <c r="F385" s="11"/>
    </row>
    <row r="386" ht="15.75" customHeight="1">
      <c r="B386" s="11"/>
      <c r="F386" s="11"/>
    </row>
    <row r="387" ht="15.75" customHeight="1">
      <c r="B387" s="11"/>
      <c r="F387" s="11"/>
    </row>
    <row r="388" ht="15.75" customHeight="1">
      <c r="B388" s="11"/>
      <c r="F388" s="11"/>
    </row>
    <row r="389" ht="15.75" customHeight="1">
      <c r="B389" s="11"/>
      <c r="F389" s="11"/>
    </row>
    <row r="390" ht="15.75" customHeight="1">
      <c r="B390" s="11"/>
      <c r="F390" s="11"/>
    </row>
    <row r="391" ht="15.75" customHeight="1">
      <c r="B391" s="11"/>
      <c r="F391" s="11"/>
    </row>
    <row r="392" ht="15.75" customHeight="1">
      <c r="B392" s="11"/>
      <c r="F392" s="11"/>
    </row>
    <row r="393" ht="15.75" customHeight="1">
      <c r="B393" s="11"/>
      <c r="F393" s="11"/>
    </row>
    <row r="394" ht="15.75" customHeight="1">
      <c r="B394" s="11"/>
      <c r="F394" s="11"/>
    </row>
    <row r="395" ht="15.75" customHeight="1">
      <c r="B395" s="11"/>
      <c r="F395" s="11"/>
    </row>
    <row r="396" ht="15.75" customHeight="1">
      <c r="B396" s="11"/>
      <c r="F396" s="11"/>
    </row>
    <row r="397" ht="15.75" customHeight="1">
      <c r="B397" s="11"/>
      <c r="F397" s="11"/>
    </row>
    <row r="398" ht="15.75" customHeight="1">
      <c r="B398" s="11"/>
      <c r="F398" s="11"/>
    </row>
    <row r="399" ht="15.75" customHeight="1">
      <c r="B399" s="11"/>
      <c r="F399" s="11"/>
    </row>
    <row r="400" ht="15.75" customHeight="1">
      <c r="B400" s="11"/>
      <c r="F400" s="11"/>
    </row>
    <row r="401" ht="15.75" customHeight="1">
      <c r="B401" s="11"/>
      <c r="F401" s="11"/>
    </row>
    <row r="402" ht="15.75" customHeight="1">
      <c r="B402" s="11"/>
      <c r="F402" s="11"/>
    </row>
    <row r="403" ht="15.75" customHeight="1">
      <c r="B403" s="11"/>
      <c r="F403" s="11"/>
    </row>
    <row r="404" ht="15.75" customHeight="1">
      <c r="B404" s="11"/>
      <c r="F404" s="11"/>
    </row>
    <row r="405" ht="15.75" customHeight="1">
      <c r="B405" s="11"/>
      <c r="F405" s="11"/>
    </row>
    <row r="406" ht="15.75" customHeight="1">
      <c r="B406" s="11"/>
      <c r="F406" s="11"/>
    </row>
    <row r="407" ht="15.75" customHeight="1">
      <c r="B407" s="11"/>
      <c r="F407" s="11"/>
    </row>
    <row r="408" ht="15.75" customHeight="1">
      <c r="B408" s="11"/>
      <c r="F408" s="11"/>
    </row>
    <row r="409" ht="15.75" customHeight="1">
      <c r="B409" s="11"/>
      <c r="F409" s="11"/>
    </row>
    <row r="410" ht="15.75" customHeight="1">
      <c r="B410" s="11"/>
      <c r="F410" s="11"/>
    </row>
    <row r="411" ht="15.75" customHeight="1">
      <c r="B411" s="11"/>
      <c r="F411" s="11"/>
    </row>
    <row r="412" ht="15.75" customHeight="1">
      <c r="B412" s="11"/>
      <c r="F412" s="11"/>
    </row>
    <row r="413" ht="15.75" customHeight="1">
      <c r="B413" s="11"/>
      <c r="F413" s="11"/>
    </row>
    <row r="414" ht="15.75" customHeight="1">
      <c r="B414" s="11"/>
      <c r="F414" s="11"/>
    </row>
    <row r="415" ht="15.75" customHeight="1">
      <c r="B415" s="11"/>
      <c r="F415" s="11"/>
    </row>
    <row r="416" ht="15.75" customHeight="1">
      <c r="B416" s="11"/>
      <c r="F416" s="11"/>
    </row>
    <row r="417" ht="15.75" customHeight="1">
      <c r="B417" s="11"/>
      <c r="F417" s="11"/>
    </row>
    <row r="418" ht="15.75" customHeight="1">
      <c r="B418" s="11"/>
      <c r="F418" s="11"/>
    </row>
    <row r="419" ht="15.75" customHeight="1">
      <c r="B419" s="11"/>
      <c r="F419" s="11"/>
    </row>
    <row r="420" ht="15.75" customHeight="1">
      <c r="B420" s="11"/>
      <c r="F420" s="11"/>
    </row>
    <row r="421" ht="15.75" customHeight="1">
      <c r="B421" s="11"/>
      <c r="F421" s="11"/>
    </row>
    <row r="422" ht="15.75" customHeight="1">
      <c r="B422" s="11"/>
      <c r="F422" s="11"/>
    </row>
    <row r="423" ht="15.75" customHeight="1">
      <c r="B423" s="11"/>
      <c r="F423" s="11"/>
    </row>
    <row r="424" ht="15.75" customHeight="1">
      <c r="B424" s="11"/>
      <c r="F424" s="11"/>
    </row>
    <row r="425" ht="15.75" customHeight="1">
      <c r="B425" s="11"/>
      <c r="F425" s="11"/>
    </row>
    <row r="426" ht="15.75" customHeight="1">
      <c r="B426" s="11"/>
      <c r="F426" s="11"/>
    </row>
    <row r="427" ht="15.75" customHeight="1">
      <c r="B427" s="11"/>
      <c r="F427" s="11"/>
    </row>
    <row r="428" ht="15.75" customHeight="1">
      <c r="B428" s="11"/>
      <c r="F428" s="11"/>
    </row>
    <row r="429" ht="15.75" customHeight="1">
      <c r="B429" s="11"/>
      <c r="F429" s="11"/>
    </row>
    <row r="430" ht="15.75" customHeight="1">
      <c r="B430" s="11"/>
      <c r="F430" s="11"/>
    </row>
    <row r="431" ht="15.75" customHeight="1">
      <c r="B431" s="11"/>
      <c r="F431" s="11"/>
    </row>
    <row r="432" ht="15.75" customHeight="1">
      <c r="B432" s="11"/>
      <c r="F432" s="11"/>
    </row>
    <row r="433" ht="15.75" customHeight="1">
      <c r="B433" s="11"/>
      <c r="F433" s="11"/>
    </row>
    <row r="434" ht="15.75" customHeight="1">
      <c r="B434" s="11"/>
      <c r="F434" s="11"/>
    </row>
    <row r="435" ht="15.75" customHeight="1">
      <c r="B435" s="11"/>
      <c r="F435" s="11"/>
    </row>
    <row r="436" ht="15.75" customHeight="1">
      <c r="B436" s="11"/>
      <c r="F436" s="11"/>
    </row>
    <row r="437" ht="15.75" customHeight="1">
      <c r="B437" s="11"/>
      <c r="F437" s="11"/>
    </row>
    <row r="438" ht="15.75" customHeight="1">
      <c r="B438" s="11"/>
      <c r="F438" s="11"/>
    </row>
    <row r="439" ht="15.75" customHeight="1">
      <c r="B439" s="11"/>
      <c r="F439" s="11"/>
    </row>
    <row r="440" ht="15.75" customHeight="1">
      <c r="B440" s="11"/>
      <c r="F440" s="11"/>
    </row>
    <row r="441" ht="15.75" customHeight="1">
      <c r="B441" s="11"/>
      <c r="F441" s="11"/>
    </row>
    <row r="442" ht="15.75" customHeight="1">
      <c r="B442" s="11"/>
      <c r="F442" s="11"/>
    </row>
    <row r="443" ht="15.75" customHeight="1">
      <c r="B443" s="11"/>
      <c r="F443" s="11"/>
    </row>
    <row r="444" ht="15.75" customHeight="1">
      <c r="B444" s="11"/>
      <c r="F444" s="11"/>
    </row>
    <row r="445" ht="15.75" customHeight="1">
      <c r="B445" s="11"/>
      <c r="F445" s="11"/>
    </row>
    <row r="446" ht="15.75" customHeight="1">
      <c r="B446" s="11"/>
      <c r="F446" s="11"/>
    </row>
    <row r="447" ht="15.75" customHeight="1">
      <c r="B447" s="11"/>
      <c r="F447" s="11"/>
    </row>
    <row r="448" ht="15.75" customHeight="1">
      <c r="B448" s="11"/>
      <c r="F448" s="11"/>
    </row>
    <row r="449" ht="15.75" customHeight="1">
      <c r="B449" s="11"/>
      <c r="F449" s="11"/>
    </row>
    <row r="450" ht="15.75" customHeight="1">
      <c r="B450" s="11"/>
      <c r="F450" s="11"/>
    </row>
    <row r="451" ht="15.75" customHeight="1">
      <c r="B451" s="11"/>
      <c r="F451" s="11"/>
    </row>
    <row r="452" ht="15.75" customHeight="1">
      <c r="B452" s="11"/>
      <c r="F452" s="11"/>
    </row>
    <row r="453" ht="15.75" customHeight="1">
      <c r="B453" s="11"/>
      <c r="F453" s="11"/>
    </row>
    <row r="454" ht="15.75" customHeight="1">
      <c r="B454" s="11"/>
      <c r="F454" s="11"/>
    </row>
    <row r="455" ht="15.75" customHeight="1">
      <c r="B455" s="11"/>
      <c r="F455" s="11"/>
    </row>
    <row r="456" ht="15.75" customHeight="1">
      <c r="B456" s="11"/>
      <c r="F456" s="11"/>
    </row>
    <row r="457" ht="15.75" customHeight="1">
      <c r="B457" s="11"/>
      <c r="F457" s="11"/>
    </row>
    <row r="458" ht="15.75" customHeight="1">
      <c r="B458" s="11"/>
      <c r="F458" s="11"/>
    </row>
    <row r="459" ht="15.75" customHeight="1">
      <c r="B459" s="11"/>
      <c r="F459" s="11"/>
    </row>
    <row r="460" ht="15.75" customHeight="1">
      <c r="B460" s="11"/>
      <c r="F460" s="11"/>
    </row>
    <row r="461" ht="15.75" customHeight="1">
      <c r="B461" s="11"/>
      <c r="F461" s="11"/>
    </row>
    <row r="462" ht="15.75" customHeight="1">
      <c r="B462" s="11"/>
      <c r="F462" s="11"/>
    </row>
    <row r="463" ht="15.75" customHeight="1">
      <c r="B463" s="11"/>
      <c r="F463" s="11"/>
    </row>
    <row r="464" ht="15.75" customHeight="1">
      <c r="B464" s="11"/>
      <c r="F464" s="11"/>
    </row>
    <row r="465" ht="15.75" customHeight="1">
      <c r="B465" s="11"/>
      <c r="F465" s="11"/>
    </row>
    <row r="466" ht="15.75" customHeight="1">
      <c r="B466" s="11"/>
      <c r="F466" s="11"/>
    </row>
    <row r="467" ht="15.75" customHeight="1">
      <c r="B467" s="11"/>
      <c r="F467" s="11"/>
    </row>
    <row r="468" ht="15.75" customHeight="1">
      <c r="B468" s="11"/>
      <c r="F468" s="11"/>
    </row>
    <row r="469" ht="15.75" customHeight="1">
      <c r="B469" s="11"/>
      <c r="F469" s="11"/>
    </row>
    <row r="470" ht="15.75" customHeight="1">
      <c r="B470" s="11"/>
      <c r="F470" s="11"/>
    </row>
    <row r="471" ht="15.75" customHeight="1">
      <c r="B471" s="11"/>
      <c r="F471" s="11"/>
    </row>
    <row r="472" ht="15.75" customHeight="1">
      <c r="B472" s="11"/>
      <c r="F472" s="11"/>
    </row>
    <row r="473" ht="15.75" customHeight="1">
      <c r="B473" s="11"/>
      <c r="F473" s="11"/>
    </row>
    <row r="474" ht="15.75" customHeight="1">
      <c r="B474" s="11"/>
      <c r="F474" s="11"/>
    </row>
    <row r="475" ht="15.75" customHeight="1">
      <c r="B475" s="11"/>
      <c r="F475" s="11"/>
    </row>
    <row r="476" ht="15.75" customHeight="1">
      <c r="B476" s="11"/>
      <c r="F476" s="11"/>
    </row>
    <row r="477" ht="15.75" customHeight="1">
      <c r="B477" s="11"/>
      <c r="F477" s="11"/>
    </row>
    <row r="478" ht="15.75" customHeight="1">
      <c r="B478" s="11"/>
      <c r="F478" s="11"/>
    </row>
    <row r="479" ht="15.75" customHeight="1">
      <c r="B479" s="11"/>
      <c r="F479" s="11"/>
    </row>
    <row r="480" ht="15.75" customHeight="1">
      <c r="B480" s="11"/>
      <c r="F480" s="11"/>
    </row>
    <row r="481" ht="15.75" customHeight="1">
      <c r="B481" s="11"/>
      <c r="F481" s="11"/>
    </row>
    <row r="482" ht="15.75" customHeight="1">
      <c r="B482" s="11"/>
      <c r="F482" s="11"/>
    </row>
    <row r="483" ht="15.75" customHeight="1">
      <c r="B483" s="11"/>
      <c r="F483" s="11"/>
    </row>
    <row r="484" ht="15.75" customHeight="1">
      <c r="B484" s="11"/>
      <c r="F484" s="11"/>
    </row>
    <row r="485" ht="15.75" customHeight="1">
      <c r="B485" s="11"/>
      <c r="F485" s="11"/>
    </row>
    <row r="486" ht="15.75" customHeight="1">
      <c r="B486" s="11"/>
      <c r="F486" s="11"/>
    </row>
    <row r="487" ht="15.75" customHeight="1">
      <c r="B487" s="11"/>
      <c r="F487" s="11"/>
    </row>
    <row r="488" ht="15.75" customHeight="1">
      <c r="B488" s="11"/>
      <c r="F488" s="11"/>
    </row>
    <row r="489" ht="15.75" customHeight="1">
      <c r="B489" s="11"/>
      <c r="F489" s="11"/>
    </row>
    <row r="490" ht="15.75" customHeight="1">
      <c r="B490" s="11"/>
      <c r="F490" s="11"/>
    </row>
    <row r="491" ht="15.75" customHeight="1">
      <c r="B491" s="11"/>
      <c r="F491" s="11"/>
    </row>
    <row r="492" ht="15.75" customHeight="1">
      <c r="B492" s="11"/>
      <c r="F492" s="11"/>
    </row>
    <row r="493" ht="15.75" customHeight="1">
      <c r="B493" s="11"/>
      <c r="F493" s="11"/>
    </row>
    <row r="494" ht="15.75" customHeight="1">
      <c r="B494" s="11"/>
      <c r="F494" s="11"/>
    </row>
    <row r="495" ht="15.75" customHeight="1">
      <c r="B495" s="11"/>
      <c r="F495" s="11"/>
    </row>
    <row r="496" ht="15.75" customHeight="1">
      <c r="B496" s="11"/>
      <c r="F496" s="11"/>
    </row>
    <row r="497" ht="15.75" customHeight="1">
      <c r="B497" s="11"/>
      <c r="F497" s="11"/>
    </row>
    <row r="498" ht="15.75" customHeight="1">
      <c r="B498" s="11"/>
      <c r="F498" s="11"/>
    </row>
    <row r="499" ht="15.75" customHeight="1">
      <c r="B499" s="11"/>
      <c r="F499" s="11"/>
    </row>
    <row r="500" ht="15.75" customHeight="1">
      <c r="B500" s="11"/>
      <c r="F500" s="11"/>
    </row>
    <row r="501" ht="15.75" customHeight="1">
      <c r="B501" s="11"/>
      <c r="F501" s="11"/>
    </row>
    <row r="502" ht="15.75" customHeight="1">
      <c r="B502" s="11"/>
      <c r="F502" s="11"/>
    </row>
    <row r="503" ht="15.75" customHeight="1">
      <c r="B503" s="11"/>
      <c r="F503" s="11"/>
    </row>
    <row r="504" ht="15.75" customHeight="1">
      <c r="B504" s="11"/>
      <c r="F504" s="11"/>
    </row>
    <row r="505" ht="15.75" customHeight="1">
      <c r="B505" s="11"/>
      <c r="F505" s="11"/>
    </row>
    <row r="506" ht="15.75" customHeight="1">
      <c r="B506" s="11"/>
      <c r="F506" s="11"/>
    </row>
    <row r="507" ht="15.75" customHeight="1">
      <c r="B507" s="11"/>
      <c r="F507" s="11"/>
    </row>
    <row r="508" ht="15.75" customHeight="1">
      <c r="B508" s="11"/>
      <c r="F508" s="11"/>
    </row>
    <row r="509" ht="15.75" customHeight="1">
      <c r="B509" s="11"/>
      <c r="F509" s="11"/>
    </row>
    <row r="510" ht="15.75" customHeight="1">
      <c r="B510" s="11"/>
      <c r="F510" s="11"/>
    </row>
    <row r="511" ht="15.75" customHeight="1">
      <c r="B511" s="11"/>
      <c r="F511" s="11"/>
    </row>
    <row r="512" ht="15.75" customHeight="1">
      <c r="B512" s="11"/>
      <c r="F512" s="11"/>
    </row>
    <row r="513" ht="15.75" customHeight="1">
      <c r="B513" s="11"/>
      <c r="F513" s="11"/>
    </row>
    <row r="514" ht="15.75" customHeight="1">
      <c r="B514" s="11"/>
      <c r="F514" s="11"/>
    </row>
    <row r="515" ht="15.75" customHeight="1">
      <c r="B515" s="11"/>
      <c r="F515" s="11"/>
    </row>
    <row r="516" ht="15.75" customHeight="1">
      <c r="B516" s="11"/>
      <c r="F516" s="11"/>
    </row>
    <row r="517" ht="15.75" customHeight="1">
      <c r="B517" s="11"/>
      <c r="F517" s="11"/>
    </row>
    <row r="518" ht="15.75" customHeight="1">
      <c r="B518" s="11"/>
      <c r="F518" s="11"/>
    </row>
    <row r="519" ht="15.75" customHeight="1">
      <c r="B519" s="11"/>
      <c r="F519" s="11"/>
    </row>
    <row r="520" ht="15.75" customHeight="1">
      <c r="B520" s="11"/>
      <c r="F520" s="11"/>
    </row>
    <row r="521" ht="15.75" customHeight="1">
      <c r="B521" s="11"/>
      <c r="F521" s="11"/>
    </row>
    <row r="522" ht="15.75" customHeight="1">
      <c r="B522" s="11"/>
      <c r="F522" s="11"/>
    </row>
    <row r="523" ht="15.75" customHeight="1">
      <c r="B523" s="11"/>
      <c r="F523" s="11"/>
    </row>
    <row r="524" ht="15.75" customHeight="1">
      <c r="B524" s="11"/>
      <c r="F524" s="11"/>
    </row>
    <row r="525" ht="15.75" customHeight="1">
      <c r="B525" s="11"/>
      <c r="F525" s="11"/>
    </row>
    <row r="526" ht="15.75" customHeight="1">
      <c r="B526" s="11"/>
      <c r="F526" s="11"/>
    </row>
    <row r="527" ht="15.75" customHeight="1">
      <c r="B527" s="11"/>
      <c r="F527" s="11"/>
    </row>
    <row r="528" ht="15.75" customHeight="1">
      <c r="B528" s="11"/>
      <c r="F528" s="11"/>
    </row>
    <row r="529" ht="15.75" customHeight="1">
      <c r="B529" s="11"/>
      <c r="F529" s="11"/>
    </row>
    <row r="530" ht="15.75" customHeight="1">
      <c r="B530" s="11"/>
      <c r="F530" s="11"/>
    </row>
    <row r="531" ht="15.75" customHeight="1">
      <c r="B531" s="11"/>
      <c r="F531" s="11"/>
    </row>
    <row r="532" ht="15.75" customHeight="1">
      <c r="B532" s="11"/>
      <c r="F532" s="11"/>
    </row>
    <row r="533" ht="15.75" customHeight="1">
      <c r="B533" s="11"/>
      <c r="F533" s="11"/>
    </row>
    <row r="534" ht="15.75" customHeight="1">
      <c r="B534" s="11"/>
      <c r="F534" s="11"/>
    </row>
    <row r="535" ht="15.75" customHeight="1">
      <c r="B535" s="11"/>
      <c r="F535" s="11"/>
    </row>
    <row r="536" ht="15.75" customHeight="1">
      <c r="B536" s="11"/>
      <c r="F536" s="11"/>
    </row>
    <row r="537" ht="15.75" customHeight="1">
      <c r="B537" s="11"/>
      <c r="F537" s="11"/>
    </row>
    <row r="538" ht="15.75" customHeight="1">
      <c r="B538" s="11"/>
      <c r="F538" s="11"/>
    </row>
    <row r="539" ht="15.75" customHeight="1">
      <c r="B539" s="11"/>
      <c r="F539" s="11"/>
    </row>
    <row r="540" ht="15.75" customHeight="1">
      <c r="B540" s="11"/>
      <c r="F540" s="11"/>
    </row>
    <row r="541" ht="15.75" customHeight="1">
      <c r="B541" s="11"/>
      <c r="F541" s="11"/>
    </row>
    <row r="542" ht="15.75" customHeight="1">
      <c r="B542" s="11"/>
      <c r="F542" s="11"/>
    </row>
    <row r="543" ht="15.75" customHeight="1">
      <c r="B543" s="11"/>
      <c r="F543" s="11"/>
    </row>
    <row r="544" ht="15.75" customHeight="1">
      <c r="B544" s="11"/>
      <c r="F544" s="11"/>
    </row>
    <row r="545" ht="15.75" customHeight="1">
      <c r="B545" s="11"/>
      <c r="F545" s="11"/>
    </row>
    <row r="546" ht="15.75" customHeight="1">
      <c r="B546" s="11"/>
      <c r="F546" s="11"/>
    </row>
    <row r="547" ht="15.75" customHeight="1">
      <c r="B547" s="11"/>
      <c r="F547" s="11"/>
    </row>
    <row r="548" ht="15.75" customHeight="1">
      <c r="B548" s="11"/>
      <c r="F548" s="11"/>
    </row>
    <row r="549" ht="15.75" customHeight="1">
      <c r="B549" s="11"/>
      <c r="F549" s="11"/>
    </row>
    <row r="550" ht="15.75" customHeight="1">
      <c r="B550" s="11"/>
      <c r="F550" s="11"/>
    </row>
    <row r="551" ht="15.75" customHeight="1">
      <c r="B551" s="11"/>
      <c r="F551" s="11"/>
    </row>
    <row r="552" ht="15.75" customHeight="1">
      <c r="B552" s="11"/>
      <c r="F552" s="11"/>
    </row>
    <row r="553" ht="15.75" customHeight="1">
      <c r="B553" s="11"/>
      <c r="F553" s="11"/>
    </row>
    <row r="554" ht="15.75" customHeight="1">
      <c r="B554" s="11"/>
      <c r="F554" s="11"/>
    </row>
    <row r="555" ht="15.75" customHeight="1">
      <c r="B555" s="11"/>
      <c r="F555" s="11"/>
    </row>
    <row r="556" ht="15.75" customHeight="1">
      <c r="B556" s="11"/>
      <c r="F556" s="11"/>
    </row>
    <row r="557" ht="15.75" customHeight="1">
      <c r="B557" s="11"/>
      <c r="F557" s="11"/>
    </row>
    <row r="558" ht="15.75" customHeight="1">
      <c r="B558" s="11"/>
      <c r="F558" s="11"/>
    </row>
    <row r="559" ht="15.75" customHeight="1">
      <c r="B559" s="11"/>
      <c r="F559" s="11"/>
    </row>
    <row r="560" ht="15.75" customHeight="1">
      <c r="B560" s="11"/>
      <c r="F560" s="11"/>
    </row>
    <row r="561" ht="15.75" customHeight="1">
      <c r="B561" s="11"/>
      <c r="F561" s="11"/>
    </row>
    <row r="562" ht="15.75" customHeight="1">
      <c r="B562" s="11"/>
      <c r="F562" s="11"/>
    </row>
    <row r="563" ht="15.75" customHeight="1">
      <c r="B563" s="11"/>
      <c r="F563" s="11"/>
    </row>
    <row r="564" ht="15.75" customHeight="1">
      <c r="B564" s="11"/>
      <c r="F564" s="11"/>
    </row>
    <row r="565" ht="15.75" customHeight="1">
      <c r="B565" s="11"/>
      <c r="F565" s="11"/>
    </row>
    <row r="566" ht="15.75" customHeight="1">
      <c r="B566" s="11"/>
      <c r="F566" s="11"/>
    </row>
    <row r="567" ht="15.75" customHeight="1">
      <c r="B567" s="11"/>
      <c r="F567" s="11"/>
    </row>
    <row r="568" ht="15.75" customHeight="1">
      <c r="B568" s="11"/>
      <c r="F568" s="11"/>
    </row>
    <row r="569" ht="15.75" customHeight="1">
      <c r="B569" s="11"/>
      <c r="F569" s="11"/>
    </row>
    <row r="570" ht="15.75" customHeight="1">
      <c r="B570" s="11"/>
      <c r="F570" s="11"/>
    </row>
    <row r="571" ht="15.75" customHeight="1">
      <c r="B571" s="11"/>
      <c r="F571" s="11"/>
    </row>
    <row r="572" ht="15.75" customHeight="1">
      <c r="B572" s="11"/>
      <c r="F572" s="11"/>
    </row>
    <row r="573" ht="15.75" customHeight="1">
      <c r="B573" s="11"/>
      <c r="F573" s="11"/>
    </row>
    <row r="574" ht="15.75" customHeight="1">
      <c r="B574" s="11"/>
      <c r="F574" s="11"/>
    </row>
    <row r="575" ht="15.75" customHeight="1">
      <c r="B575" s="11"/>
      <c r="F575" s="11"/>
    </row>
    <row r="576" ht="15.75" customHeight="1">
      <c r="B576" s="11"/>
      <c r="F576" s="11"/>
    </row>
    <row r="577" ht="15.75" customHeight="1">
      <c r="B577" s="11"/>
      <c r="F577" s="11"/>
    </row>
    <row r="578" ht="15.75" customHeight="1">
      <c r="B578" s="11"/>
      <c r="F578" s="11"/>
    </row>
    <row r="579" ht="15.75" customHeight="1">
      <c r="B579" s="11"/>
      <c r="F579" s="11"/>
    </row>
    <row r="580" ht="15.75" customHeight="1">
      <c r="B580" s="11"/>
      <c r="F580" s="11"/>
    </row>
    <row r="581" ht="15.75" customHeight="1">
      <c r="B581" s="11"/>
      <c r="F581" s="11"/>
    </row>
    <row r="582" ht="15.75" customHeight="1">
      <c r="B582" s="11"/>
      <c r="F582" s="11"/>
    </row>
    <row r="583" ht="15.75" customHeight="1">
      <c r="B583" s="11"/>
      <c r="F583" s="11"/>
    </row>
    <row r="584" ht="15.75" customHeight="1">
      <c r="B584" s="11"/>
      <c r="F584" s="11"/>
    </row>
    <row r="585" ht="15.75" customHeight="1">
      <c r="B585" s="11"/>
      <c r="F585" s="11"/>
    </row>
    <row r="586" ht="15.75" customHeight="1">
      <c r="B586" s="11"/>
      <c r="F586" s="11"/>
    </row>
    <row r="587" ht="15.75" customHeight="1">
      <c r="B587" s="11"/>
      <c r="F587" s="11"/>
    </row>
    <row r="588" ht="15.75" customHeight="1">
      <c r="B588" s="11"/>
      <c r="F588" s="11"/>
    </row>
    <row r="589" ht="15.75" customHeight="1">
      <c r="B589" s="11"/>
      <c r="F589" s="11"/>
    </row>
    <row r="590" ht="15.75" customHeight="1">
      <c r="B590" s="11"/>
      <c r="F590" s="11"/>
    </row>
    <row r="591" ht="15.75" customHeight="1">
      <c r="B591" s="11"/>
      <c r="F591" s="11"/>
    </row>
    <row r="592" ht="15.75" customHeight="1">
      <c r="B592" s="11"/>
      <c r="F592" s="11"/>
    </row>
    <row r="593" ht="15.75" customHeight="1">
      <c r="B593" s="11"/>
      <c r="F593" s="11"/>
    </row>
    <row r="594" ht="15.75" customHeight="1">
      <c r="B594" s="11"/>
      <c r="F594" s="11"/>
    </row>
    <row r="595" ht="15.75" customHeight="1">
      <c r="B595" s="11"/>
      <c r="F595" s="11"/>
    </row>
    <row r="596" ht="15.75" customHeight="1">
      <c r="B596" s="11"/>
      <c r="F596" s="11"/>
    </row>
    <row r="597" ht="15.75" customHeight="1">
      <c r="B597" s="11"/>
      <c r="F597" s="11"/>
    </row>
    <row r="598" ht="15.75" customHeight="1">
      <c r="B598" s="11"/>
      <c r="F598" s="11"/>
    </row>
    <row r="599" ht="15.75" customHeight="1">
      <c r="B599" s="11"/>
      <c r="F599" s="11"/>
    </row>
    <row r="600" ht="15.75" customHeight="1">
      <c r="B600" s="11"/>
      <c r="F600" s="11"/>
    </row>
    <row r="601" ht="15.75" customHeight="1">
      <c r="B601" s="11"/>
      <c r="F601" s="11"/>
    </row>
    <row r="602" ht="15.75" customHeight="1">
      <c r="B602" s="11"/>
      <c r="F602" s="11"/>
    </row>
    <row r="603" ht="15.75" customHeight="1">
      <c r="B603" s="11"/>
      <c r="F603" s="11"/>
    </row>
    <row r="604" ht="15.75" customHeight="1">
      <c r="B604" s="11"/>
      <c r="F604" s="11"/>
    </row>
    <row r="605" ht="15.75" customHeight="1">
      <c r="B605" s="11"/>
      <c r="F605" s="11"/>
    </row>
    <row r="606" ht="15.75" customHeight="1">
      <c r="B606" s="11"/>
      <c r="F606" s="11"/>
    </row>
    <row r="607" ht="15.75" customHeight="1">
      <c r="B607" s="11"/>
      <c r="F607" s="11"/>
    </row>
    <row r="608" ht="15.75" customHeight="1">
      <c r="B608" s="11"/>
      <c r="F608" s="11"/>
    </row>
    <row r="609" ht="15.75" customHeight="1">
      <c r="B609" s="11"/>
      <c r="F609" s="11"/>
    </row>
    <row r="610" ht="15.75" customHeight="1">
      <c r="B610" s="11"/>
      <c r="F610" s="11"/>
    </row>
    <row r="611" ht="15.75" customHeight="1">
      <c r="B611" s="11"/>
      <c r="F611" s="11"/>
    </row>
    <row r="612" ht="15.75" customHeight="1">
      <c r="B612" s="11"/>
      <c r="F612" s="11"/>
    </row>
    <row r="613" ht="15.75" customHeight="1">
      <c r="B613" s="11"/>
      <c r="F613" s="11"/>
    </row>
    <row r="614" ht="15.75" customHeight="1">
      <c r="B614" s="11"/>
      <c r="F614" s="11"/>
    </row>
    <row r="615" ht="15.75" customHeight="1">
      <c r="B615" s="11"/>
      <c r="F615" s="11"/>
    </row>
    <row r="616" ht="15.75" customHeight="1">
      <c r="B616" s="11"/>
      <c r="F616" s="11"/>
    </row>
    <row r="617" ht="15.75" customHeight="1">
      <c r="B617" s="11"/>
      <c r="F617" s="11"/>
    </row>
    <row r="618" ht="15.75" customHeight="1">
      <c r="B618" s="11"/>
      <c r="F618" s="11"/>
    </row>
    <row r="619" ht="15.75" customHeight="1">
      <c r="B619" s="11"/>
      <c r="F619" s="11"/>
    </row>
    <row r="620" ht="15.75" customHeight="1">
      <c r="B620" s="11"/>
      <c r="F620" s="11"/>
    </row>
    <row r="621" ht="15.75" customHeight="1">
      <c r="B621" s="11"/>
      <c r="F621" s="11"/>
    </row>
    <row r="622" ht="15.75" customHeight="1">
      <c r="B622" s="11"/>
      <c r="F622" s="11"/>
    </row>
    <row r="623" ht="15.75" customHeight="1">
      <c r="B623" s="11"/>
      <c r="F623" s="11"/>
    </row>
    <row r="624" ht="15.75" customHeight="1">
      <c r="B624" s="11"/>
      <c r="F624" s="11"/>
    </row>
    <row r="625" ht="15.75" customHeight="1">
      <c r="B625" s="11"/>
      <c r="F625" s="11"/>
    </row>
    <row r="626" ht="15.75" customHeight="1">
      <c r="B626" s="11"/>
      <c r="F626" s="11"/>
    </row>
    <row r="627" ht="15.75" customHeight="1">
      <c r="B627" s="11"/>
      <c r="F627" s="11"/>
    </row>
    <row r="628" ht="15.75" customHeight="1">
      <c r="B628" s="11"/>
      <c r="F628" s="11"/>
    </row>
    <row r="629" ht="15.75" customHeight="1">
      <c r="B629" s="11"/>
      <c r="F629" s="11"/>
    </row>
    <row r="630" ht="15.75" customHeight="1">
      <c r="B630" s="11"/>
      <c r="F630" s="11"/>
    </row>
    <row r="631" ht="15.75" customHeight="1">
      <c r="B631" s="11"/>
      <c r="F631" s="11"/>
    </row>
    <row r="632" ht="15.75" customHeight="1">
      <c r="B632" s="11"/>
      <c r="F632" s="11"/>
    </row>
    <row r="633" ht="15.75" customHeight="1">
      <c r="B633" s="11"/>
      <c r="F633" s="11"/>
    </row>
    <row r="634" ht="15.75" customHeight="1">
      <c r="B634" s="11"/>
      <c r="F634" s="11"/>
    </row>
    <row r="635" ht="15.75" customHeight="1">
      <c r="B635" s="11"/>
      <c r="F635" s="11"/>
    </row>
    <row r="636" ht="15.75" customHeight="1">
      <c r="B636" s="11"/>
      <c r="F636" s="11"/>
    </row>
    <row r="637" ht="15.75" customHeight="1">
      <c r="B637" s="11"/>
      <c r="F637" s="11"/>
    </row>
    <row r="638" ht="15.75" customHeight="1">
      <c r="B638" s="11"/>
      <c r="F638" s="11"/>
    </row>
    <row r="639" ht="15.75" customHeight="1">
      <c r="B639" s="11"/>
      <c r="F639" s="11"/>
    </row>
    <row r="640" ht="15.75" customHeight="1">
      <c r="B640" s="11"/>
      <c r="F640" s="11"/>
    </row>
    <row r="641" ht="15.75" customHeight="1">
      <c r="B641" s="11"/>
      <c r="F641" s="11"/>
    </row>
    <row r="642" ht="15.75" customHeight="1">
      <c r="B642" s="11"/>
      <c r="F642" s="11"/>
    </row>
    <row r="643" ht="15.75" customHeight="1">
      <c r="B643" s="11"/>
      <c r="F643" s="11"/>
    </row>
    <row r="644" ht="15.75" customHeight="1">
      <c r="B644" s="11"/>
      <c r="F644" s="11"/>
    </row>
    <row r="645" ht="15.75" customHeight="1">
      <c r="B645" s="11"/>
      <c r="F645" s="11"/>
    </row>
    <row r="646" ht="15.75" customHeight="1">
      <c r="B646" s="11"/>
      <c r="F646" s="11"/>
    </row>
    <row r="647" ht="15.75" customHeight="1">
      <c r="B647" s="11"/>
      <c r="F647" s="11"/>
    </row>
    <row r="648" ht="15.75" customHeight="1">
      <c r="B648" s="11"/>
      <c r="F648" s="11"/>
    </row>
    <row r="649" ht="15.75" customHeight="1">
      <c r="B649" s="11"/>
      <c r="F649" s="11"/>
    </row>
    <row r="650" ht="15.75" customHeight="1">
      <c r="B650" s="11"/>
      <c r="F650" s="11"/>
    </row>
    <row r="651" ht="15.75" customHeight="1">
      <c r="B651" s="11"/>
      <c r="F651" s="11"/>
    </row>
    <row r="652" ht="15.75" customHeight="1">
      <c r="B652" s="11"/>
      <c r="F652" s="11"/>
    </row>
    <row r="653" ht="15.75" customHeight="1">
      <c r="B653" s="11"/>
      <c r="F653" s="11"/>
    </row>
    <row r="654" ht="15.75" customHeight="1">
      <c r="B654" s="11"/>
      <c r="F654" s="11"/>
    </row>
    <row r="655" ht="15.75" customHeight="1">
      <c r="B655" s="11"/>
      <c r="F655" s="11"/>
    </row>
    <row r="656" ht="15.75" customHeight="1">
      <c r="B656" s="11"/>
      <c r="F656" s="11"/>
    </row>
    <row r="657" ht="15.75" customHeight="1">
      <c r="B657" s="11"/>
      <c r="F657" s="11"/>
    </row>
    <row r="658" ht="15.75" customHeight="1">
      <c r="B658" s="11"/>
      <c r="F658" s="11"/>
    </row>
    <row r="659" ht="15.75" customHeight="1">
      <c r="B659" s="11"/>
      <c r="F659" s="11"/>
    </row>
    <row r="660" ht="15.75" customHeight="1">
      <c r="B660" s="11"/>
      <c r="F660" s="11"/>
    </row>
    <row r="661" ht="15.75" customHeight="1">
      <c r="B661" s="11"/>
      <c r="F661" s="11"/>
    </row>
    <row r="662" ht="15.75" customHeight="1">
      <c r="B662" s="11"/>
      <c r="F662" s="11"/>
    </row>
    <row r="663" ht="15.75" customHeight="1">
      <c r="B663" s="11"/>
      <c r="F663" s="11"/>
    </row>
    <row r="664" ht="15.75" customHeight="1">
      <c r="B664" s="11"/>
      <c r="F664" s="11"/>
    </row>
    <row r="665" ht="15.75" customHeight="1">
      <c r="B665" s="11"/>
      <c r="F665" s="11"/>
    </row>
    <row r="666" ht="15.75" customHeight="1">
      <c r="B666" s="11"/>
      <c r="F666" s="11"/>
    </row>
    <row r="667" ht="15.75" customHeight="1">
      <c r="B667" s="11"/>
      <c r="F667" s="11"/>
    </row>
    <row r="668" ht="15.75" customHeight="1">
      <c r="B668" s="11"/>
      <c r="F668" s="11"/>
    </row>
    <row r="669" ht="15.75" customHeight="1">
      <c r="B669" s="11"/>
      <c r="F669" s="11"/>
    </row>
    <row r="670" ht="15.75" customHeight="1">
      <c r="B670" s="11"/>
      <c r="F670" s="11"/>
    </row>
    <row r="671" ht="15.75" customHeight="1">
      <c r="B671" s="11"/>
      <c r="F671" s="11"/>
    </row>
    <row r="672" ht="15.75" customHeight="1">
      <c r="B672" s="11"/>
      <c r="F672" s="11"/>
    </row>
    <row r="673" ht="15.75" customHeight="1">
      <c r="B673" s="11"/>
      <c r="F673" s="11"/>
    </row>
    <row r="674" ht="15.75" customHeight="1">
      <c r="B674" s="11"/>
      <c r="F674" s="11"/>
    </row>
    <row r="675" ht="15.75" customHeight="1">
      <c r="B675" s="11"/>
      <c r="F675" s="11"/>
    </row>
    <row r="676" ht="15.75" customHeight="1">
      <c r="B676" s="11"/>
      <c r="F676" s="11"/>
    </row>
    <row r="677" ht="15.75" customHeight="1">
      <c r="B677" s="11"/>
      <c r="F677" s="11"/>
    </row>
    <row r="678" ht="15.75" customHeight="1">
      <c r="B678" s="11"/>
      <c r="F678" s="11"/>
    </row>
    <row r="679" ht="15.75" customHeight="1">
      <c r="B679" s="11"/>
      <c r="F679" s="11"/>
    </row>
    <row r="680" ht="15.75" customHeight="1">
      <c r="B680" s="11"/>
      <c r="F680" s="11"/>
    </row>
    <row r="681" ht="15.75" customHeight="1">
      <c r="B681" s="11"/>
      <c r="F681" s="11"/>
    </row>
    <row r="682" ht="15.75" customHeight="1">
      <c r="B682" s="11"/>
      <c r="F682" s="11"/>
    </row>
    <row r="683" ht="15.75" customHeight="1">
      <c r="B683" s="11"/>
      <c r="F683" s="11"/>
    </row>
    <row r="684" ht="15.75" customHeight="1">
      <c r="B684" s="11"/>
      <c r="F684" s="11"/>
    </row>
    <row r="685" ht="15.75" customHeight="1">
      <c r="B685" s="11"/>
      <c r="F685" s="11"/>
    </row>
    <row r="686" ht="15.75" customHeight="1">
      <c r="B686" s="11"/>
      <c r="F686" s="11"/>
    </row>
    <row r="687" ht="15.75" customHeight="1">
      <c r="B687" s="11"/>
      <c r="F687" s="11"/>
    </row>
    <row r="688" ht="15.75" customHeight="1">
      <c r="B688" s="11"/>
      <c r="F688" s="11"/>
    </row>
    <row r="689" ht="15.75" customHeight="1">
      <c r="B689" s="11"/>
      <c r="F689" s="11"/>
    </row>
    <row r="690" ht="15.75" customHeight="1">
      <c r="B690" s="11"/>
      <c r="F690" s="11"/>
    </row>
    <row r="691" ht="15.75" customHeight="1">
      <c r="B691" s="11"/>
      <c r="F691" s="11"/>
    </row>
    <row r="692" ht="15.75" customHeight="1">
      <c r="B692" s="11"/>
      <c r="F692" s="11"/>
    </row>
    <row r="693" ht="15.75" customHeight="1">
      <c r="B693" s="11"/>
      <c r="F693" s="11"/>
    </row>
    <row r="694" ht="15.75" customHeight="1">
      <c r="B694" s="11"/>
      <c r="F694" s="11"/>
    </row>
    <row r="695" ht="15.75" customHeight="1">
      <c r="B695" s="11"/>
      <c r="F695" s="11"/>
    </row>
    <row r="696" ht="15.75" customHeight="1">
      <c r="B696" s="11"/>
      <c r="F696" s="11"/>
    </row>
    <row r="697" ht="15.75" customHeight="1">
      <c r="B697" s="11"/>
      <c r="F697" s="11"/>
    </row>
    <row r="698" ht="15.75" customHeight="1">
      <c r="B698" s="11"/>
      <c r="F698" s="11"/>
    </row>
    <row r="699" ht="15.75" customHeight="1">
      <c r="B699" s="11"/>
      <c r="F699" s="11"/>
    </row>
    <row r="700" ht="15.75" customHeight="1">
      <c r="B700" s="11"/>
      <c r="F700" s="11"/>
    </row>
    <row r="701" ht="15.75" customHeight="1">
      <c r="B701" s="11"/>
      <c r="F701" s="11"/>
    </row>
    <row r="702" ht="15.75" customHeight="1">
      <c r="B702" s="11"/>
      <c r="F702" s="11"/>
    </row>
    <row r="703" ht="15.75" customHeight="1">
      <c r="B703" s="11"/>
      <c r="F703" s="11"/>
    </row>
    <row r="704" ht="15.75" customHeight="1">
      <c r="B704" s="11"/>
      <c r="F704" s="11"/>
    </row>
    <row r="705" ht="15.75" customHeight="1">
      <c r="B705" s="11"/>
      <c r="F705" s="11"/>
    </row>
    <row r="706" ht="15.75" customHeight="1">
      <c r="B706" s="11"/>
      <c r="F706" s="11"/>
    </row>
    <row r="707" ht="15.75" customHeight="1">
      <c r="B707" s="11"/>
      <c r="F707" s="11"/>
    </row>
    <row r="708" ht="15.75" customHeight="1">
      <c r="B708" s="11"/>
      <c r="F708" s="11"/>
    </row>
    <row r="709" ht="15.75" customHeight="1">
      <c r="B709" s="11"/>
      <c r="F709" s="11"/>
    </row>
    <row r="710" ht="15.75" customHeight="1">
      <c r="B710" s="11"/>
      <c r="F710" s="11"/>
    </row>
    <row r="711" ht="15.75" customHeight="1">
      <c r="B711" s="11"/>
      <c r="F711" s="11"/>
    </row>
    <row r="712" ht="15.75" customHeight="1">
      <c r="B712" s="11"/>
      <c r="F712" s="11"/>
    </row>
    <row r="713" ht="15.75" customHeight="1">
      <c r="B713" s="11"/>
      <c r="F713" s="11"/>
    </row>
    <row r="714" ht="15.75" customHeight="1">
      <c r="B714" s="11"/>
      <c r="F714" s="11"/>
    </row>
    <row r="715" ht="15.75" customHeight="1">
      <c r="B715" s="11"/>
      <c r="F715" s="11"/>
    </row>
    <row r="716" ht="15.75" customHeight="1">
      <c r="B716" s="11"/>
      <c r="F716" s="11"/>
    </row>
    <row r="717" ht="15.75" customHeight="1">
      <c r="B717" s="11"/>
      <c r="F717" s="11"/>
    </row>
    <row r="718" ht="15.75" customHeight="1">
      <c r="B718" s="11"/>
      <c r="F718" s="11"/>
    </row>
    <row r="719" ht="15.75" customHeight="1">
      <c r="B719" s="11"/>
      <c r="F719" s="11"/>
    </row>
    <row r="720" ht="15.75" customHeight="1">
      <c r="B720" s="11"/>
      <c r="F720" s="11"/>
    </row>
    <row r="721" ht="15.75" customHeight="1">
      <c r="B721" s="11"/>
      <c r="F721" s="11"/>
    </row>
    <row r="722" ht="15.75" customHeight="1">
      <c r="B722" s="11"/>
      <c r="F722" s="11"/>
    </row>
    <row r="723" ht="15.75" customHeight="1">
      <c r="B723" s="11"/>
      <c r="F723" s="11"/>
    </row>
    <row r="724" ht="15.75" customHeight="1">
      <c r="B724" s="11"/>
      <c r="F724" s="11"/>
    </row>
    <row r="725" ht="15.75" customHeight="1">
      <c r="B725" s="11"/>
      <c r="F725" s="11"/>
    </row>
    <row r="726" ht="15.75" customHeight="1">
      <c r="B726" s="11"/>
      <c r="F726" s="11"/>
    </row>
    <row r="727" ht="15.75" customHeight="1">
      <c r="B727" s="11"/>
      <c r="F727" s="11"/>
    </row>
    <row r="728" ht="15.75" customHeight="1">
      <c r="B728" s="11"/>
      <c r="F728" s="11"/>
    </row>
    <row r="729" ht="15.75" customHeight="1">
      <c r="B729" s="11"/>
      <c r="F729" s="11"/>
    </row>
    <row r="730" ht="15.75" customHeight="1">
      <c r="B730" s="11"/>
      <c r="F730" s="11"/>
    </row>
    <row r="731" ht="15.75" customHeight="1">
      <c r="B731" s="11"/>
      <c r="F731" s="11"/>
    </row>
    <row r="732" ht="15.75" customHeight="1">
      <c r="B732" s="11"/>
      <c r="F732" s="11"/>
    </row>
    <row r="733" ht="15.75" customHeight="1">
      <c r="B733" s="11"/>
      <c r="F733" s="11"/>
    </row>
    <row r="734" ht="15.75" customHeight="1">
      <c r="B734" s="11"/>
      <c r="F734" s="11"/>
    </row>
    <row r="735" ht="15.75" customHeight="1">
      <c r="B735" s="11"/>
      <c r="F735" s="11"/>
    </row>
    <row r="736" ht="15.75" customHeight="1">
      <c r="B736" s="11"/>
      <c r="F736" s="11"/>
    </row>
    <row r="737" ht="15.75" customHeight="1">
      <c r="B737" s="11"/>
      <c r="F737" s="11"/>
    </row>
    <row r="738" ht="15.75" customHeight="1">
      <c r="B738" s="11"/>
      <c r="F738" s="11"/>
    </row>
    <row r="739" ht="15.75" customHeight="1">
      <c r="B739" s="11"/>
      <c r="F739" s="11"/>
    </row>
    <row r="740" ht="15.75" customHeight="1">
      <c r="B740" s="11"/>
      <c r="F740" s="11"/>
    </row>
    <row r="741" ht="15.75" customHeight="1">
      <c r="B741" s="11"/>
      <c r="F741" s="11"/>
    </row>
    <row r="742" ht="15.75" customHeight="1">
      <c r="B742" s="11"/>
      <c r="F742" s="11"/>
    </row>
    <row r="743" ht="15.75" customHeight="1">
      <c r="B743" s="11"/>
      <c r="F743" s="11"/>
    </row>
    <row r="744" ht="15.75" customHeight="1">
      <c r="B744" s="11"/>
      <c r="F744" s="11"/>
    </row>
    <row r="745" ht="15.75" customHeight="1">
      <c r="B745" s="11"/>
      <c r="F745" s="11"/>
    </row>
    <row r="746" ht="15.75" customHeight="1">
      <c r="B746" s="11"/>
      <c r="F746" s="11"/>
    </row>
    <row r="747" ht="15.75" customHeight="1">
      <c r="B747" s="11"/>
      <c r="F747" s="11"/>
    </row>
    <row r="748" ht="15.75" customHeight="1">
      <c r="B748" s="11"/>
      <c r="F748" s="11"/>
    </row>
    <row r="749" ht="15.75" customHeight="1">
      <c r="B749" s="11"/>
      <c r="F749" s="11"/>
    </row>
    <row r="750" ht="15.75" customHeight="1">
      <c r="B750" s="11"/>
      <c r="F750" s="11"/>
    </row>
    <row r="751" ht="15.75" customHeight="1">
      <c r="B751" s="11"/>
      <c r="F751" s="11"/>
    </row>
    <row r="752" ht="15.75" customHeight="1">
      <c r="B752" s="11"/>
      <c r="F752" s="11"/>
    </row>
    <row r="753" ht="15.75" customHeight="1">
      <c r="B753" s="11"/>
      <c r="F753" s="11"/>
    </row>
    <row r="754" ht="15.75" customHeight="1">
      <c r="B754" s="11"/>
      <c r="F754" s="11"/>
    </row>
    <row r="755" ht="15.75" customHeight="1">
      <c r="B755" s="11"/>
      <c r="F755" s="11"/>
    </row>
    <row r="756" ht="15.75" customHeight="1">
      <c r="B756" s="11"/>
      <c r="F756" s="11"/>
    </row>
    <row r="757" ht="15.75" customHeight="1">
      <c r="B757" s="11"/>
      <c r="F757" s="11"/>
    </row>
    <row r="758" ht="15.75" customHeight="1">
      <c r="B758" s="11"/>
      <c r="F758" s="11"/>
    </row>
    <row r="759" ht="15.75" customHeight="1">
      <c r="B759" s="11"/>
      <c r="F759" s="11"/>
    </row>
    <row r="760" ht="15.75" customHeight="1">
      <c r="B760" s="11"/>
      <c r="F760" s="11"/>
    </row>
    <row r="761" ht="15.75" customHeight="1">
      <c r="B761" s="11"/>
      <c r="F761" s="11"/>
    </row>
    <row r="762" ht="15.75" customHeight="1">
      <c r="B762" s="11"/>
      <c r="F762" s="11"/>
    </row>
    <row r="763" ht="15.75" customHeight="1">
      <c r="B763" s="11"/>
      <c r="F763" s="11"/>
    </row>
    <row r="764" ht="15.75" customHeight="1">
      <c r="B764" s="11"/>
      <c r="F764" s="11"/>
    </row>
    <row r="765" ht="15.75" customHeight="1">
      <c r="B765" s="11"/>
      <c r="F765" s="11"/>
    </row>
    <row r="766" ht="15.75" customHeight="1">
      <c r="B766" s="11"/>
      <c r="F766" s="11"/>
    </row>
    <row r="767" ht="15.75" customHeight="1">
      <c r="B767" s="11"/>
      <c r="F767" s="11"/>
    </row>
    <row r="768" ht="15.75" customHeight="1">
      <c r="B768" s="11"/>
      <c r="F768" s="11"/>
    </row>
    <row r="769" ht="15.75" customHeight="1">
      <c r="B769" s="11"/>
      <c r="F769" s="11"/>
    </row>
    <row r="770" ht="15.75" customHeight="1">
      <c r="B770" s="11"/>
      <c r="F770" s="11"/>
    </row>
    <row r="771" ht="15.75" customHeight="1">
      <c r="B771" s="11"/>
      <c r="F771" s="11"/>
    </row>
    <row r="772" ht="15.75" customHeight="1">
      <c r="B772" s="11"/>
      <c r="F772" s="11"/>
    </row>
    <row r="773" ht="15.75" customHeight="1">
      <c r="B773" s="11"/>
      <c r="F773" s="11"/>
    </row>
    <row r="774" ht="15.75" customHeight="1">
      <c r="B774" s="11"/>
      <c r="F774" s="11"/>
    </row>
    <row r="775" ht="15.75" customHeight="1">
      <c r="B775" s="11"/>
      <c r="F775" s="11"/>
    </row>
    <row r="776" ht="15.75" customHeight="1">
      <c r="B776" s="11"/>
      <c r="F776" s="11"/>
    </row>
    <row r="777" ht="15.75" customHeight="1">
      <c r="B777" s="11"/>
      <c r="F777" s="11"/>
    </row>
    <row r="778" ht="15.75" customHeight="1">
      <c r="B778" s="11"/>
      <c r="F778" s="11"/>
    </row>
    <row r="779" ht="15.75" customHeight="1">
      <c r="B779" s="11"/>
      <c r="F779" s="11"/>
    </row>
    <row r="780" ht="15.75" customHeight="1">
      <c r="B780" s="11"/>
      <c r="F780" s="11"/>
    </row>
    <row r="781" ht="15.75" customHeight="1">
      <c r="B781" s="11"/>
      <c r="F781" s="11"/>
    </row>
    <row r="782" ht="15.75" customHeight="1">
      <c r="B782" s="11"/>
      <c r="F782" s="11"/>
    </row>
    <row r="783" ht="15.75" customHeight="1">
      <c r="B783" s="11"/>
      <c r="F783" s="11"/>
    </row>
    <row r="784" ht="15.75" customHeight="1">
      <c r="B784" s="11"/>
      <c r="F784" s="11"/>
    </row>
    <row r="785" ht="15.75" customHeight="1">
      <c r="B785" s="11"/>
      <c r="F785" s="11"/>
    </row>
    <row r="786" ht="15.75" customHeight="1">
      <c r="B786" s="11"/>
      <c r="F786" s="11"/>
    </row>
    <row r="787" ht="15.75" customHeight="1">
      <c r="B787" s="11"/>
      <c r="F787" s="11"/>
    </row>
    <row r="788" ht="15.75" customHeight="1">
      <c r="B788" s="11"/>
      <c r="F788" s="11"/>
    </row>
    <row r="789" ht="15.75" customHeight="1">
      <c r="B789" s="11"/>
      <c r="F789" s="11"/>
    </row>
    <row r="790" ht="15.75" customHeight="1">
      <c r="B790" s="11"/>
      <c r="F790" s="11"/>
    </row>
    <row r="791" ht="15.75" customHeight="1">
      <c r="B791" s="11"/>
      <c r="F791" s="11"/>
    </row>
    <row r="792" ht="15.75" customHeight="1">
      <c r="B792" s="11"/>
      <c r="F792" s="11"/>
    </row>
    <row r="793" ht="15.75" customHeight="1">
      <c r="B793" s="11"/>
      <c r="F793" s="11"/>
    </row>
    <row r="794" ht="15.75" customHeight="1">
      <c r="B794" s="11"/>
      <c r="F794" s="11"/>
    </row>
    <row r="795" ht="15.75" customHeight="1">
      <c r="B795" s="11"/>
      <c r="F795" s="11"/>
    </row>
    <row r="796" ht="15.75" customHeight="1">
      <c r="B796" s="11"/>
      <c r="F796" s="11"/>
    </row>
    <row r="797" ht="15.75" customHeight="1">
      <c r="B797" s="11"/>
      <c r="F797" s="11"/>
    </row>
    <row r="798" ht="15.75" customHeight="1">
      <c r="B798" s="11"/>
      <c r="F798" s="11"/>
    </row>
    <row r="799" ht="15.75" customHeight="1">
      <c r="B799" s="11"/>
      <c r="F799" s="11"/>
    </row>
    <row r="800" ht="15.75" customHeight="1">
      <c r="B800" s="11"/>
      <c r="F800" s="11"/>
    </row>
    <row r="801" ht="15.75" customHeight="1">
      <c r="B801" s="11"/>
      <c r="F801" s="11"/>
    </row>
    <row r="802" ht="15.75" customHeight="1">
      <c r="B802" s="11"/>
      <c r="F802" s="11"/>
    </row>
    <row r="803" ht="15.75" customHeight="1">
      <c r="B803" s="11"/>
      <c r="F803" s="11"/>
    </row>
    <row r="804" ht="15.75" customHeight="1">
      <c r="B804" s="11"/>
      <c r="F804" s="11"/>
    </row>
    <row r="805" ht="15.75" customHeight="1">
      <c r="B805" s="11"/>
      <c r="F805" s="11"/>
    </row>
    <row r="806" ht="15.75" customHeight="1">
      <c r="B806" s="11"/>
      <c r="F806" s="11"/>
    </row>
    <row r="807" ht="15.75" customHeight="1">
      <c r="B807" s="11"/>
      <c r="F807" s="11"/>
    </row>
    <row r="808" ht="15.75" customHeight="1">
      <c r="B808" s="11"/>
      <c r="F808" s="11"/>
    </row>
    <row r="809" ht="15.75" customHeight="1">
      <c r="B809" s="11"/>
      <c r="F809" s="11"/>
    </row>
    <row r="810" ht="15.75" customHeight="1">
      <c r="B810" s="11"/>
      <c r="F810" s="11"/>
    </row>
    <row r="811" ht="15.75" customHeight="1">
      <c r="B811" s="11"/>
      <c r="F811" s="11"/>
    </row>
    <row r="812" ht="15.75" customHeight="1">
      <c r="B812" s="11"/>
      <c r="F812" s="11"/>
    </row>
    <row r="813" ht="15.75" customHeight="1">
      <c r="B813" s="11"/>
      <c r="F813" s="11"/>
    </row>
    <row r="814" ht="15.75" customHeight="1">
      <c r="B814" s="11"/>
      <c r="F814" s="11"/>
    </row>
    <row r="815" ht="15.75" customHeight="1">
      <c r="B815" s="11"/>
      <c r="F815" s="11"/>
    </row>
    <row r="816" ht="15.75" customHeight="1">
      <c r="B816" s="11"/>
      <c r="F816" s="11"/>
    </row>
    <row r="817" ht="15.75" customHeight="1">
      <c r="B817" s="11"/>
      <c r="F817" s="11"/>
    </row>
    <row r="818" ht="15.75" customHeight="1">
      <c r="B818" s="11"/>
      <c r="F818" s="11"/>
    </row>
    <row r="819" ht="15.75" customHeight="1">
      <c r="B819" s="11"/>
      <c r="F819" s="11"/>
    </row>
    <row r="820" ht="15.75" customHeight="1">
      <c r="B820" s="11"/>
      <c r="F820" s="11"/>
    </row>
    <row r="821" ht="15.75" customHeight="1">
      <c r="B821" s="11"/>
      <c r="F821" s="11"/>
    </row>
    <row r="822" ht="15.75" customHeight="1">
      <c r="B822" s="11"/>
      <c r="F822" s="11"/>
    </row>
    <row r="823" ht="15.75" customHeight="1">
      <c r="B823" s="11"/>
      <c r="F823" s="11"/>
    </row>
    <row r="824" ht="15.75" customHeight="1">
      <c r="B824" s="11"/>
      <c r="F824" s="11"/>
    </row>
    <row r="825" ht="15.75" customHeight="1">
      <c r="B825" s="11"/>
      <c r="F825" s="11"/>
    </row>
    <row r="826" ht="15.75" customHeight="1">
      <c r="B826" s="11"/>
      <c r="F826" s="11"/>
    </row>
    <row r="827" ht="15.75" customHeight="1">
      <c r="B827" s="11"/>
      <c r="F827" s="11"/>
    </row>
    <row r="828" ht="15.75" customHeight="1">
      <c r="B828" s="11"/>
      <c r="F828" s="11"/>
    </row>
    <row r="829" ht="15.75" customHeight="1">
      <c r="B829" s="11"/>
      <c r="F829" s="11"/>
    </row>
    <row r="830" ht="15.75" customHeight="1">
      <c r="B830" s="11"/>
      <c r="F830" s="11"/>
    </row>
    <row r="831" ht="15.75" customHeight="1">
      <c r="B831" s="11"/>
      <c r="F831" s="11"/>
    </row>
    <row r="832" ht="15.75" customHeight="1">
      <c r="B832" s="11"/>
      <c r="F832" s="11"/>
    </row>
    <row r="833" ht="15.75" customHeight="1">
      <c r="B833" s="11"/>
      <c r="F833" s="11"/>
    </row>
    <row r="834" ht="15.75" customHeight="1">
      <c r="B834" s="11"/>
      <c r="F834" s="11"/>
    </row>
    <row r="835" ht="15.75" customHeight="1">
      <c r="B835" s="11"/>
      <c r="F835" s="11"/>
    </row>
    <row r="836" ht="15.75" customHeight="1">
      <c r="B836" s="11"/>
      <c r="F836" s="11"/>
    </row>
    <row r="837" ht="15.75" customHeight="1">
      <c r="B837" s="11"/>
      <c r="F837" s="11"/>
    </row>
    <row r="838" ht="15.75" customHeight="1">
      <c r="B838" s="11"/>
      <c r="F838" s="11"/>
    </row>
    <row r="839" ht="15.75" customHeight="1">
      <c r="B839" s="11"/>
      <c r="F839" s="11"/>
    </row>
    <row r="840" ht="15.75" customHeight="1">
      <c r="B840" s="11"/>
      <c r="F840" s="11"/>
    </row>
    <row r="841" ht="15.75" customHeight="1">
      <c r="B841" s="11"/>
      <c r="F841" s="11"/>
    </row>
    <row r="842" ht="15.75" customHeight="1">
      <c r="B842" s="11"/>
      <c r="F842" s="11"/>
    </row>
    <row r="843" ht="15.75" customHeight="1">
      <c r="B843" s="11"/>
      <c r="F843" s="11"/>
    </row>
    <row r="844" ht="15.75" customHeight="1">
      <c r="B844" s="11"/>
      <c r="F844" s="11"/>
    </row>
    <row r="845" ht="15.75" customHeight="1">
      <c r="B845" s="11"/>
      <c r="F845" s="11"/>
    </row>
    <row r="846" ht="15.75" customHeight="1">
      <c r="B846" s="11"/>
      <c r="F846" s="11"/>
    </row>
    <row r="847" ht="15.75" customHeight="1">
      <c r="B847" s="11"/>
      <c r="F847" s="11"/>
    </row>
    <row r="848" ht="15.75" customHeight="1">
      <c r="B848" s="11"/>
      <c r="F848" s="11"/>
    </row>
    <row r="849" ht="15.75" customHeight="1">
      <c r="B849" s="11"/>
      <c r="F849" s="11"/>
    </row>
    <row r="850" ht="15.75" customHeight="1">
      <c r="B850" s="11"/>
      <c r="F850" s="11"/>
    </row>
    <row r="851" ht="15.75" customHeight="1">
      <c r="B851" s="11"/>
      <c r="F851" s="11"/>
    </row>
    <row r="852" ht="15.75" customHeight="1">
      <c r="B852" s="11"/>
      <c r="F852" s="11"/>
    </row>
    <row r="853" ht="15.75" customHeight="1">
      <c r="B853" s="11"/>
      <c r="F853" s="11"/>
    </row>
    <row r="854" ht="15.75" customHeight="1">
      <c r="B854" s="11"/>
      <c r="F854" s="11"/>
    </row>
    <row r="855" ht="15.75" customHeight="1">
      <c r="B855" s="11"/>
      <c r="F855" s="11"/>
    </row>
    <row r="856" ht="15.75" customHeight="1">
      <c r="B856" s="11"/>
      <c r="F856" s="11"/>
    </row>
    <row r="857" ht="15.75" customHeight="1">
      <c r="B857" s="11"/>
      <c r="F857" s="11"/>
    </row>
    <row r="858" ht="15.75" customHeight="1">
      <c r="B858" s="11"/>
      <c r="F858" s="11"/>
    </row>
    <row r="859" ht="15.75" customHeight="1">
      <c r="B859" s="11"/>
      <c r="F859" s="11"/>
    </row>
    <row r="860" ht="15.75" customHeight="1">
      <c r="B860" s="11"/>
      <c r="F860" s="11"/>
    </row>
    <row r="861" ht="15.75" customHeight="1">
      <c r="B861" s="11"/>
      <c r="F861" s="11"/>
    </row>
    <row r="862" ht="15.75" customHeight="1">
      <c r="B862" s="11"/>
      <c r="F862" s="11"/>
    </row>
    <row r="863" ht="15.75" customHeight="1">
      <c r="B863" s="11"/>
      <c r="F863" s="11"/>
    </row>
    <row r="864" ht="15.75" customHeight="1">
      <c r="B864" s="11"/>
      <c r="F864" s="11"/>
    </row>
    <row r="865" ht="15.75" customHeight="1">
      <c r="B865" s="11"/>
      <c r="F865" s="11"/>
    </row>
    <row r="866" ht="15.75" customHeight="1">
      <c r="B866" s="11"/>
      <c r="F866" s="11"/>
    </row>
    <row r="867" ht="15.75" customHeight="1">
      <c r="B867" s="11"/>
      <c r="F867" s="11"/>
    </row>
    <row r="868" ht="15.75" customHeight="1">
      <c r="B868" s="11"/>
      <c r="F868" s="11"/>
    </row>
    <row r="869" ht="15.75" customHeight="1">
      <c r="B869" s="11"/>
      <c r="F869" s="11"/>
    </row>
    <row r="870" ht="15.75" customHeight="1">
      <c r="B870" s="11"/>
      <c r="F870" s="11"/>
    </row>
    <row r="871" ht="15.75" customHeight="1">
      <c r="B871" s="11"/>
      <c r="F871" s="11"/>
    </row>
    <row r="872" ht="15.75" customHeight="1">
      <c r="B872" s="11"/>
      <c r="F872" s="11"/>
    </row>
    <row r="873" ht="15.75" customHeight="1">
      <c r="B873" s="11"/>
      <c r="F873" s="11"/>
    </row>
    <row r="874" ht="15.75" customHeight="1">
      <c r="B874" s="11"/>
      <c r="F874" s="11"/>
    </row>
    <row r="875" ht="15.75" customHeight="1">
      <c r="B875" s="11"/>
      <c r="F875" s="11"/>
    </row>
    <row r="876" ht="15.75" customHeight="1">
      <c r="B876" s="11"/>
      <c r="F876" s="11"/>
    </row>
    <row r="877" ht="15.75" customHeight="1">
      <c r="B877" s="11"/>
      <c r="F877" s="11"/>
    </row>
    <row r="878" ht="15.75" customHeight="1">
      <c r="B878" s="11"/>
      <c r="F878" s="11"/>
    </row>
    <row r="879" ht="15.75" customHeight="1">
      <c r="B879" s="11"/>
      <c r="F879" s="11"/>
    </row>
    <row r="880" ht="15.75" customHeight="1">
      <c r="B880" s="11"/>
      <c r="F880" s="11"/>
    </row>
    <row r="881" ht="15.75" customHeight="1">
      <c r="B881" s="11"/>
      <c r="F881" s="11"/>
    </row>
    <row r="882" ht="15.75" customHeight="1">
      <c r="B882" s="11"/>
      <c r="F882" s="11"/>
    </row>
    <row r="883" ht="15.75" customHeight="1">
      <c r="B883" s="11"/>
      <c r="F883" s="11"/>
    </row>
    <row r="884" ht="15.75" customHeight="1">
      <c r="B884" s="11"/>
      <c r="F884" s="11"/>
    </row>
    <row r="885" ht="15.75" customHeight="1">
      <c r="B885" s="11"/>
      <c r="F885" s="11"/>
    </row>
    <row r="886" ht="15.75" customHeight="1">
      <c r="B886" s="11"/>
      <c r="F886" s="11"/>
    </row>
    <row r="887" ht="15.75" customHeight="1">
      <c r="B887" s="11"/>
      <c r="F887" s="11"/>
    </row>
    <row r="888" ht="15.75" customHeight="1">
      <c r="B888" s="11"/>
      <c r="F888" s="11"/>
    </row>
    <row r="889" ht="15.75" customHeight="1">
      <c r="B889" s="11"/>
      <c r="F889" s="11"/>
    </row>
    <row r="890" ht="15.75" customHeight="1">
      <c r="B890" s="11"/>
      <c r="F890" s="11"/>
    </row>
    <row r="891" ht="15.75" customHeight="1">
      <c r="B891" s="11"/>
      <c r="F891" s="11"/>
    </row>
    <row r="892" ht="15.75" customHeight="1">
      <c r="B892" s="11"/>
      <c r="F892" s="11"/>
    </row>
    <row r="893" ht="15.75" customHeight="1">
      <c r="B893" s="11"/>
      <c r="F893" s="11"/>
    </row>
    <row r="894" ht="15.75" customHeight="1">
      <c r="B894" s="11"/>
      <c r="F894" s="11"/>
    </row>
    <row r="895" ht="15.75" customHeight="1">
      <c r="B895" s="11"/>
      <c r="F895" s="11"/>
    </row>
    <row r="896" ht="15.75" customHeight="1">
      <c r="B896" s="11"/>
      <c r="F896" s="11"/>
    </row>
    <row r="897" ht="15.75" customHeight="1">
      <c r="B897" s="11"/>
      <c r="F897" s="11"/>
    </row>
    <row r="898" ht="15.75" customHeight="1">
      <c r="B898" s="11"/>
      <c r="F898" s="11"/>
    </row>
    <row r="899" ht="15.75" customHeight="1">
      <c r="B899" s="11"/>
      <c r="F899" s="11"/>
    </row>
    <row r="900" ht="15.75" customHeight="1">
      <c r="B900" s="11"/>
      <c r="F900" s="11"/>
    </row>
    <row r="901" ht="15.75" customHeight="1">
      <c r="B901" s="11"/>
      <c r="F901" s="11"/>
    </row>
    <row r="902" ht="15.75" customHeight="1">
      <c r="B902" s="11"/>
      <c r="F902" s="11"/>
    </row>
    <row r="903" ht="15.75" customHeight="1">
      <c r="B903" s="11"/>
      <c r="F903" s="11"/>
    </row>
    <row r="904" ht="15.75" customHeight="1">
      <c r="B904" s="11"/>
      <c r="F904" s="11"/>
    </row>
    <row r="905" ht="15.75" customHeight="1">
      <c r="B905" s="11"/>
      <c r="F905" s="11"/>
    </row>
    <row r="906" ht="15.75" customHeight="1">
      <c r="B906" s="11"/>
      <c r="F906" s="11"/>
    </row>
    <row r="907" ht="15.75" customHeight="1">
      <c r="B907" s="11"/>
      <c r="F907" s="11"/>
    </row>
    <row r="908" ht="15.75" customHeight="1">
      <c r="B908" s="11"/>
      <c r="F908" s="11"/>
    </row>
    <row r="909" ht="15.75" customHeight="1">
      <c r="B909" s="11"/>
      <c r="F909" s="11"/>
    </row>
    <row r="910" ht="15.75" customHeight="1">
      <c r="B910" s="11"/>
      <c r="F910" s="11"/>
    </row>
    <row r="911" ht="15.75" customHeight="1">
      <c r="B911" s="11"/>
      <c r="F911" s="11"/>
    </row>
    <row r="912" ht="15.75" customHeight="1">
      <c r="B912" s="11"/>
      <c r="F912" s="11"/>
    </row>
    <row r="913" ht="15.75" customHeight="1">
      <c r="B913" s="11"/>
      <c r="F913" s="11"/>
    </row>
    <row r="914" ht="15.75" customHeight="1">
      <c r="B914" s="11"/>
      <c r="F914" s="11"/>
    </row>
    <row r="915" ht="15.75" customHeight="1">
      <c r="B915" s="11"/>
      <c r="F915" s="11"/>
    </row>
    <row r="916" ht="15.75" customHeight="1">
      <c r="B916" s="11"/>
      <c r="F916" s="11"/>
    </row>
    <row r="917" ht="15.75" customHeight="1">
      <c r="B917" s="11"/>
      <c r="F917" s="11"/>
    </row>
    <row r="918" ht="15.75" customHeight="1">
      <c r="B918" s="11"/>
      <c r="F918" s="11"/>
    </row>
    <row r="919" ht="15.75" customHeight="1">
      <c r="B919" s="11"/>
      <c r="F919" s="11"/>
    </row>
    <row r="920" ht="15.75" customHeight="1">
      <c r="B920" s="11"/>
      <c r="F920" s="11"/>
    </row>
    <row r="921" ht="15.75" customHeight="1">
      <c r="B921" s="11"/>
      <c r="F921" s="11"/>
    </row>
    <row r="922" ht="15.75" customHeight="1">
      <c r="B922" s="11"/>
      <c r="F922" s="11"/>
    </row>
    <row r="923" ht="15.75" customHeight="1">
      <c r="B923" s="11"/>
      <c r="F923" s="11"/>
    </row>
    <row r="924" ht="15.75" customHeight="1">
      <c r="B924" s="11"/>
      <c r="F924" s="11"/>
    </row>
    <row r="925" ht="15.75" customHeight="1">
      <c r="B925" s="11"/>
      <c r="F925" s="11"/>
    </row>
    <row r="926" ht="15.75" customHeight="1">
      <c r="B926" s="11"/>
      <c r="F926" s="11"/>
    </row>
    <row r="927" ht="15.75" customHeight="1">
      <c r="B927" s="11"/>
      <c r="F927" s="11"/>
    </row>
    <row r="928" ht="15.75" customHeight="1">
      <c r="B928" s="11"/>
      <c r="F928" s="11"/>
    </row>
    <row r="929" ht="15.75" customHeight="1">
      <c r="B929" s="11"/>
      <c r="F929" s="11"/>
    </row>
    <row r="930" ht="15.75" customHeight="1">
      <c r="B930" s="11"/>
      <c r="F930" s="11"/>
    </row>
    <row r="931" ht="15.75" customHeight="1">
      <c r="B931" s="11"/>
      <c r="F931" s="11"/>
    </row>
    <row r="932" ht="15.75" customHeight="1">
      <c r="B932" s="11"/>
      <c r="F932" s="11"/>
    </row>
    <row r="933" ht="15.75" customHeight="1">
      <c r="B933" s="11"/>
      <c r="F933" s="11"/>
    </row>
    <row r="934" ht="15.75" customHeight="1">
      <c r="B934" s="11"/>
      <c r="F934" s="11"/>
    </row>
    <row r="935" ht="15.75" customHeight="1">
      <c r="B935" s="11"/>
      <c r="F935" s="11"/>
    </row>
    <row r="936" ht="15.75" customHeight="1">
      <c r="B936" s="11"/>
      <c r="F936" s="11"/>
    </row>
    <row r="937" ht="15.75" customHeight="1">
      <c r="B937" s="11"/>
      <c r="F937" s="11"/>
    </row>
    <row r="938" ht="15.75" customHeight="1">
      <c r="B938" s="11"/>
      <c r="F938" s="11"/>
    </row>
    <row r="939" ht="15.75" customHeight="1">
      <c r="B939" s="11"/>
      <c r="F939" s="11"/>
    </row>
    <row r="940" ht="15.75" customHeight="1">
      <c r="B940" s="11"/>
      <c r="F940" s="11"/>
    </row>
    <row r="941" ht="15.75" customHeight="1">
      <c r="B941" s="11"/>
      <c r="F941" s="11"/>
    </row>
    <row r="942" ht="15.75" customHeight="1">
      <c r="B942" s="11"/>
      <c r="F942" s="11"/>
    </row>
    <row r="943" ht="15.75" customHeight="1">
      <c r="B943" s="11"/>
      <c r="F943" s="11"/>
    </row>
    <row r="944" ht="15.75" customHeight="1">
      <c r="B944" s="11"/>
      <c r="F944" s="11"/>
    </row>
    <row r="945" ht="15.75" customHeight="1">
      <c r="B945" s="11"/>
      <c r="F945" s="11"/>
    </row>
    <row r="946" ht="15.75" customHeight="1">
      <c r="B946" s="11"/>
      <c r="F946" s="11"/>
    </row>
    <row r="947" ht="15.75" customHeight="1">
      <c r="B947" s="11"/>
      <c r="F947" s="11"/>
    </row>
    <row r="948" ht="15.75" customHeight="1">
      <c r="B948" s="11"/>
      <c r="F948" s="11"/>
    </row>
    <row r="949" ht="15.75" customHeight="1">
      <c r="B949" s="11"/>
      <c r="F949" s="11"/>
    </row>
    <row r="950" ht="15.75" customHeight="1">
      <c r="B950" s="11"/>
      <c r="F950" s="11"/>
    </row>
    <row r="951" ht="15.75" customHeight="1">
      <c r="B951" s="11"/>
      <c r="F951" s="11"/>
    </row>
    <row r="952" ht="15.75" customHeight="1">
      <c r="B952" s="11"/>
      <c r="F952" s="11"/>
    </row>
    <row r="953" ht="15.75" customHeight="1">
      <c r="B953" s="11"/>
      <c r="F953" s="11"/>
    </row>
    <row r="954" ht="15.75" customHeight="1">
      <c r="B954" s="11"/>
      <c r="F954" s="11"/>
    </row>
    <row r="955" ht="15.75" customHeight="1">
      <c r="B955" s="11"/>
      <c r="F955" s="11"/>
    </row>
    <row r="956" ht="15.75" customHeight="1">
      <c r="B956" s="11"/>
      <c r="F956" s="11"/>
    </row>
    <row r="957" ht="15.75" customHeight="1">
      <c r="B957" s="11"/>
      <c r="F957" s="11"/>
    </row>
    <row r="958" ht="15.75" customHeight="1">
      <c r="B958" s="11"/>
      <c r="F958" s="11"/>
    </row>
    <row r="959" ht="15.75" customHeight="1">
      <c r="B959" s="11"/>
      <c r="F959" s="11"/>
    </row>
    <row r="960" ht="15.75" customHeight="1">
      <c r="B960" s="11"/>
      <c r="F960" s="11"/>
    </row>
    <row r="961" ht="15.75" customHeight="1">
      <c r="B961" s="11"/>
      <c r="F961" s="11"/>
    </row>
    <row r="962" ht="15.75" customHeight="1">
      <c r="B962" s="11"/>
      <c r="F962" s="11"/>
    </row>
    <row r="963" ht="15.75" customHeight="1">
      <c r="B963" s="11"/>
      <c r="F963" s="11"/>
    </row>
    <row r="964" ht="15.75" customHeight="1">
      <c r="B964" s="11"/>
      <c r="F964" s="11"/>
    </row>
    <row r="965" ht="15.75" customHeight="1">
      <c r="B965" s="11"/>
      <c r="F965" s="11"/>
    </row>
    <row r="966" ht="15.75" customHeight="1">
      <c r="B966" s="11"/>
      <c r="F966" s="11"/>
    </row>
    <row r="967" ht="15.75" customHeight="1">
      <c r="B967" s="11"/>
      <c r="F967" s="11"/>
    </row>
    <row r="968" ht="15.75" customHeight="1">
      <c r="B968" s="11"/>
      <c r="F968" s="11"/>
    </row>
    <row r="969" ht="15.75" customHeight="1">
      <c r="B969" s="11"/>
      <c r="F969" s="11"/>
    </row>
    <row r="970" ht="15.75" customHeight="1">
      <c r="B970" s="11"/>
      <c r="F970" s="11"/>
    </row>
    <row r="971" ht="15.75" customHeight="1">
      <c r="B971" s="11"/>
      <c r="F971" s="11"/>
    </row>
    <row r="972" ht="15.75" customHeight="1">
      <c r="B972" s="11"/>
      <c r="F972" s="11"/>
    </row>
    <row r="973" ht="15.75" customHeight="1">
      <c r="B973" s="11"/>
      <c r="F973" s="11"/>
    </row>
    <row r="974" ht="15.75" customHeight="1">
      <c r="B974" s="11"/>
      <c r="F974" s="11"/>
    </row>
    <row r="975" ht="15.75" customHeight="1">
      <c r="B975" s="11"/>
      <c r="F975" s="11"/>
    </row>
    <row r="976" ht="15.75" customHeight="1">
      <c r="B976" s="11"/>
      <c r="F976" s="11"/>
    </row>
    <row r="977" ht="15.75" customHeight="1">
      <c r="B977" s="11"/>
      <c r="F977" s="11"/>
    </row>
    <row r="978" ht="15.75" customHeight="1">
      <c r="B978" s="11"/>
      <c r="F978" s="11"/>
    </row>
    <row r="979" ht="15.75" customHeight="1">
      <c r="B979" s="11"/>
      <c r="F979" s="11"/>
    </row>
    <row r="980" ht="15.75" customHeight="1">
      <c r="B980" s="11"/>
      <c r="F980" s="11"/>
    </row>
    <row r="981" ht="15.75" customHeight="1">
      <c r="B981" s="11"/>
      <c r="F981" s="11"/>
    </row>
    <row r="982" ht="15.75" customHeight="1">
      <c r="B982" s="11"/>
      <c r="F982" s="11"/>
    </row>
    <row r="983" ht="15.75" customHeight="1">
      <c r="B983" s="11"/>
      <c r="F983" s="11"/>
    </row>
    <row r="984" ht="15.75" customHeight="1">
      <c r="B984" s="11"/>
      <c r="F984" s="11"/>
    </row>
    <row r="985" ht="15.75" customHeight="1">
      <c r="B985" s="11"/>
      <c r="F985" s="11"/>
    </row>
    <row r="986" ht="15.75" customHeight="1">
      <c r="B986" s="11"/>
      <c r="F986" s="11"/>
    </row>
    <row r="987" ht="15.75" customHeight="1">
      <c r="B987" s="11"/>
      <c r="F987" s="11"/>
    </row>
    <row r="988" ht="15.75" customHeight="1">
      <c r="B988" s="11"/>
      <c r="F988" s="11"/>
    </row>
    <row r="989" ht="15.75" customHeight="1">
      <c r="B989" s="11"/>
      <c r="F989" s="11"/>
    </row>
    <row r="990" ht="15.75" customHeight="1">
      <c r="B990" s="11"/>
      <c r="F990" s="11"/>
    </row>
    <row r="991" ht="15.75" customHeight="1">
      <c r="B991" s="11"/>
      <c r="F991" s="11"/>
    </row>
    <row r="992" ht="15.75" customHeight="1">
      <c r="B992" s="11"/>
      <c r="F992" s="11"/>
    </row>
    <row r="993" ht="15.75" customHeight="1">
      <c r="B993" s="11"/>
      <c r="F993" s="11"/>
    </row>
    <row r="994" ht="15.75" customHeight="1">
      <c r="B994" s="11"/>
      <c r="F994" s="11"/>
    </row>
    <row r="995" ht="15.75" customHeight="1">
      <c r="B995" s="11"/>
      <c r="F995" s="11"/>
    </row>
    <row r="996" ht="15.75" customHeight="1">
      <c r="B996" s="11"/>
      <c r="F996" s="11"/>
    </row>
    <row r="997" ht="15.75" customHeight="1">
      <c r="B997" s="11"/>
      <c r="F997" s="11"/>
    </row>
    <row r="998" ht="15.75" customHeight="1">
      <c r="B998" s="11"/>
      <c r="F998" s="11"/>
    </row>
    <row r="999" ht="15.75" customHeight="1">
      <c r="B999" s="11"/>
      <c r="F999" s="11"/>
    </row>
    <row r="1000" ht="15.75" customHeight="1">
      <c r="B1000" s="11"/>
      <c r="F1000" s="11"/>
    </row>
  </sheetData>
  <conditionalFormatting sqref="F2:F1000">
    <cfRule type="cellIs" dxfId="0" priority="1" operator="equal">
      <formula>"上場"</formula>
    </cfRule>
  </conditionalFormatting>
  <dataValidations>
    <dataValidation type="list" allowBlank="1" sqref="B2:B1000">
      <formula1>"A,B,C,D,E"</formula1>
    </dataValidation>
    <dataValidation type="list" allowBlank="1" sqref="F2:F1000">
      <formula1>"上場,未上場"</formula1>
    </dataValidation>
  </dataValidations>
  <hyperlinks>
    <hyperlink r:id="rId1" ref="E3"/>
    <hyperlink r:id="rId2" ref="E4"/>
    <hyperlink r:id="rId3" ref="E5"/>
    <hyperlink r:id="rId4" ref="J5"/>
    <hyperlink r:id="rId5" ref="E6"/>
    <hyperlink r:id="rId6" ref="E7"/>
    <hyperlink r:id="rId7" ref="L7"/>
    <hyperlink r:id="rId8" ref="E8"/>
    <hyperlink r:id="rId9" location="section-overview" ref="J8"/>
    <hyperlink r:id="rId10" ref="K8"/>
    <hyperlink r:id="rId11" ref="L8"/>
    <hyperlink r:id="rId12" ref="E9"/>
    <hyperlink r:id="rId13" ref="E10"/>
    <hyperlink r:id="rId14" ref="E11"/>
    <hyperlink r:id="rId15" ref="E12"/>
    <hyperlink r:id="rId16" ref="E13"/>
  </hyperlinks>
  <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ht="15.75" customHeight="1">
      <c r="A1" s="2" t="s">
        <v>2759</v>
      </c>
      <c r="B1" s="2" t="s">
        <v>2265</v>
      </c>
      <c r="C1" s="2" t="s">
        <v>0</v>
      </c>
      <c r="D1" s="2" t="s">
        <v>2266</v>
      </c>
      <c r="E1" s="1" t="s">
        <v>2</v>
      </c>
      <c r="F1" s="2" t="s">
        <v>11</v>
      </c>
      <c r="G1" s="2" t="s">
        <v>2272</v>
      </c>
      <c r="H1" s="2" t="s">
        <v>2268</v>
      </c>
      <c r="I1" s="2" t="s">
        <v>2269</v>
      </c>
      <c r="J1" s="1" t="s">
        <v>2270</v>
      </c>
      <c r="K1" s="1" t="s">
        <v>2271</v>
      </c>
      <c r="L1" s="1" t="s">
        <v>2267</v>
      </c>
      <c r="M1" s="1" t="s">
        <v>2273</v>
      </c>
      <c r="N1" s="1" t="s">
        <v>2274</v>
      </c>
      <c r="O1" s="1" t="s">
        <v>2276</v>
      </c>
      <c r="P1" s="1" t="s">
        <v>2277</v>
      </c>
      <c r="Q1" s="1" t="s">
        <v>2802</v>
      </c>
      <c r="R1" s="1" t="s">
        <v>2248</v>
      </c>
      <c r="S1" s="1" t="s">
        <v>2279</v>
      </c>
      <c r="T1" s="1" t="s">
        <v>116</v>
      </c>
      <c r="U1" s="1" t="s">
        <v>2280</v>
      </c>
      <c r="V1" s="1" t="s">
        <v>2281</v>
      </c>
      <c r="W1" s="1" t="s">
        <v>2282</v>
      </c>
      <c r="X1" s="1" t="s">
        <v>2283</v>
      </c>
      <c r="Y1" s="1" t="s">
        <v>2284</v>
      </c>
      <c r="Z1" s="1" t="s">
        <v>2803</v>
      </c>
      <c r="AA1" s="2"/>
      <c r="AB1" s="2" t="s">
        <v>2256</v>
      </c>
      <c r="AD1" s="2"/>
      <c r="AE1" s="2" t="s">
        <v>2287</v>
      </c>
      <c r="AF1" s="2"/>
      <c r="AG1" s="2"/>
      <c r="AH1" s="2"/>
      <c r="AI1" s="2"/>
      <c r="AJ1" s="2"/>
      <c r="AK1" s="2"/>
      <c r="AL1" s="2"/>
      <c r="AM1" s="2"/>
      <c r="AN1" s="2"/>
      <c r="AO1" s="2"/>
      <c r="AP1" s="2"/>
      <c r="AQ1" s="2"/>
      <c r="AR1" s="2"/>
      <c r="AS1" s="2"/>
      <c r="AT1" s="2"/>
      <c r="AU1" s="2"/>
      <c r="AV1" s="2"/>
    </row>
    <row r="2" ht="15.75" customHeight="1">
      <c r="A2" s="11" t="s">
        <v>2804</v>
      </c>
      <c r="B2" s="84" t="s">
        <v>2289</v>
      </c>
      <c r="C2" s="11" t="s">
        <v>2805</v>
      </c>
      <c r="E2" s="47" t="s">
        <v>2806</v>
      </c>
      <c r="F2" s="11" t="s">
        <v>24</v>
      </c>
      <c r="G2" s="11" t="s">
        <v>2415</v>
      </c>
      <c r="J2" s="31"/>
      <c r="K2" s="31"/>
      <c r="L2" s="31"/>
      <c r="M2" s="31"/>
      <c r="N2" s="31"/>
      <c r="O2" s="31"/>
      <c r="P2" s="31"/>
      <c r="Q2" s="31"/>
      <c r="R2" s="31"/>
      <c r="S2" s="31"/>
      <c r="T2" s="31"/>
      <c r="U2" s="31"/>
      <c r="V2" s="31"/>
      <c r="W2" s="31"/>
      <c r="X2" s="31"/>
      <c r="Y2" s="31"/>
      <c r="Z2" s="31"/>
    </row>
    <row r="3" ht="15.75" customHeight="1">
      <c r="A3" s="11" t="s">
        <v>2807</v>
      </c>
      <c r="B3" s="84" t="s">
        <v>2289</v>
      </c>
      <c r="C3" s="11" t="s">
        <v>2808</v>
      </c>
      <c r="E3" s="47" t="s">
        <v>2809</v>
      </c>
      <c r="F3" s="11" t="s">
        <v>24</v>
      </c>
      <c r="G3" s="11" t="s">
        <v>2810</v>
      </c>
      <c r="I3" s="11" t="s">
        <v>2811</v>
      </c>
      <c r="J3" s="85" t="s">
        <v>2812</v>
      </c>
      <c r="K3" s="31"/>
      <c r="L3" s="31"/>
      <c r="M3" s="31"/>
      <c r="N3" s="31"/>
      <c r="O3" s="31"/>
      <c r="P3" s="31"/>
      <c r="Q3" s="31"/>
      <c r="R3" s="31"/>
      <c r="S3" s="31"/>
      <c r="T3" s="31"/>
      <c r="U3" s="31"/>
      <c r="V3" s="31"/>
      <c r="W3" s="31"/>
      <c r="X3" s="31"/>
      <c r="Y3" s="31"/>
      <c r="Z3" s="31"/>
    </row>
    <row r="4" ht="15.75" customHeight="1">
      <c r="A4" s="11" t="s">
        <v>2813</v>
      </c>
      <c r="B4" s="84" t="s">
        <v>2356</v>
      </c>
      <c r="C4" s="11" t="s">
        <v>2814</v>
      </c>
      <c r="D4" s="11">
        <v>2013.0</v>
      </c>
      <c r="E4" s="47" t="s">
        <v>2815</v>
      </c>
      <c r="F4" s="11" t="s">
        <v>24</v>
      </c>
      <c r="G4" s="11" t="s">
        <v>2816</v>
      </c>
      <c r="J4" s="31"/>
      <c r="K4" s="31"/>
      <c r="L4" s="31"/>
      <c r="M4" s="31"/>
      <c r="N4" s="31"/>
      <c r="O4" s="31"/>
      <c r="P4" s="31"/>
      <c r="Q4" s="31"/>
      <c r="R4" s="31"/>
      <c r="S4" s="31"/>
      <c r="T4" s="31"/>
      <c r="U4" s="31"/>
      <c r="V4" s="31"/>
      <c r="W4" s="31"/>
      <c r="X4" s="31"/>
      <c r="Y4" s="31"/>
      <c r="Z4" s="31"/>
    </row>
    <row r="5" ht="15.75" customHeight="1">
      <c r="A5" s="11" t="s">
        <v>2817</v>
      </c>
      <c r="B5" s="84" t="s">
        <v>2420</v>
      </c>
      <c r="C5" s="11" t="s">
        <v>2818</v>
      </c>
      <c r="D5" s="11">
        <v>2012.0</v>
      </c>
      <c r="E5" s="85" t="s">
        <v>2819</v>
      </c>
      <c r="F5" s="11" t="s">
        <v>24</v>
      </c>
      <c r="G5" s="11" t="s">
        <v>2820</v>
      </c>
      <c r="J5" s="85" t="s">
        <v>2821</v>
      </c>
      <c r="K5" s="31"/>
      <c r="L5" s="31"/>
      <c r="M5" s="31"/>
      <c r="N5" s="31"/>
      <c r="O5" s="31"/>
      <c r="P5" s="31"/>
      <c r="Q5" s="31"/>
      <c r="R5" s="31"/>
      <c r="S5" s="31"/>
      <c r="T5" s="31"/>
      <c r="U5" s="31"/>
      <c r="V5" s="31"/>
      <c r="W5" s="31"/>
      <c r="X5" s="31"/>
      <c r="Y5" s="31"/>
      <c r="Z5" s="31"/>
    </row>
    <row r="6" ht="15.75" customHeight="1">
      <c r="A6" s="11" t="s">
        <v>2822</v>
      </c>
      <c r="B6" s="84"/>
      <c r="C6" s="11" t="s">
        <v>2823</v>
      </c>
      <c r="E6" s="85" t="s">
        <v>2824</v>
      </c>
      <c r="F6" s="11"/>
      <c r="J6" s="31"/>
      <c r="K6" s="31"/>
      <c r="L6" s="31"/>
      <c r="M6" s="31"/>
      <c r="N6" s="31"/>
      <c r="O6" s="31"/>
      <c r="P6" s="31"/>
      <c r="Q6" s="31"/>
      <c r="R6" s="31"/>
      <c r="S6" s="31"/>
      <c r="T6" s="31"/>
      <c r="U6" s="31"/>
      <c r="V6" s="31"/>
      <c r="W6" s="31"/>
      <c r="X6" s="31"/>
      <c r="Y6" s="31"/>
      <c r="Z6" s="31"/>
    </row>
    <row r="7" ht="15.75" customHeight="1">
      <c r="B7" s="84"/>
      <c r="E7" s="31"/>
      <c r="F7" s="11"/>
      <c r="J7" s="31"/>
      <c r="K7" s="31"/>
      <c r="L7" s="31"/>
      <c r="M7" s="31"/>
      <c r="N7" s="31"/>
      <c r="O7" s="31"/>
      <c r="P7" s="31"/>
      <c r="Q7" s="31"/>
      <c r="R7" s="31"/>
      <c r="S7" s="31"/>
      <c r="T7" s="31"/>
      <c r="U7" s="31"/>
      <c r="V7" s="31"/>
      <c r="W7" s="31"/>
      <c r="X7" s="31"/>
      <c r="Y7" s="31"/>
      <c r="Z7" s="31"/>
    </row>
    <row r="8" ht="15.75" customHeight="1">
      <c r="B8" s="84"/>
      <c r="E8" s="31"/>
      <c r="F8" s="11"/>
      <c r="J8" s="31"/>
      <c r="K8" s="31"/>
      <c r="L8" s="31"/>
      <c r="M8" s="31"/>
      <c r="N8" s="31"/>
      <c r="O8" s="31"/>
      <c r="P8" s="31"/>
      <c r="Q8" s="31"/>
      <c r="R8" s="31"/>
      <c r="S8" s="31"/>
      <c r="T8" s="31"/>
      <c r="U8" s="31"/>
      <c r="V8" s="31"/>
      <c r="W8" s="31"/>
      <c r="X8" s="31"/>
      <c r="Y8" s="31"/>
      <c r="Z8" s="31"/>
    </row>
    <row r="9" ht="15.75" customHeight="1">
      <c r="B9" s="84"/>
      <c r="E9" s="31"/>
      <c r="F9" s="11"/>
      <c r="J9" s="31"/>
      <c r="K9" s="31"/>
      <c r="L9" s="31"/>
      <c r="M9" s="31"/>
      <c r="N9" s="31"/>
      <c r="O9" s="31"/>
      <c r="P9" s="31"/>
      <c r="Q9" s="31"/>
      <c r="R9" s="31"/>
      <c r="S9" s="31"/>
      <c r="T9" s="31"/>
      <c r="U9" s="31"/>
      <c r="V9" s="31"/>
      <c r="W9" s="31"/>
      <c r="X9" s="31"/>
      <c r="Y9" s="31"/>
      <c r="Z9" s="31"/>
    </row>
    <row r="10" ht="15.75" customHeight="1">
      <c r="B10" s="84"/>
      <c r="E10" s="31"/>
      <c r="F10" s="11"/>
      <c r="J10" s="31"/>
      <c r="K10" s="31"/>
      <c r="L10" s="31"/>
      <c r="M10" s="31"/>
      <c r="N10" s="31"/>
      <c r="O10" s="31"/>
      <c r="P10" s="31"/>
      <c r="Q10" s="31"/>
      <c r="R10" s="31"/>
      <c r="S10" s="31"/>
      <c r="T10" s="31"/>
      <c r="U10" s="31"/>
      <c r="V10" s="31"/>
      <c r="W10" s="31"/>
      <c r="X10" s="31"/>
      <c r="Y10" s="31"/>
      <c r="Z10" s="31"/>
    </row>
    <row r="11" ht="15.75" customHeight="1">
      <c r="B11" s="84"/>
      <c r="E11" s="31"/>
      <c r="F11" s="11"/>
      <c r="J11" s="31"/>
      <c r="K11" s="31"/>
      <c r="L11" s="31"/>
      <c r="M11" s="31"/>
      <c r="N11" s="31"/>
      <c r="O11" s="31"/>
      <c r="P11" s="31"/>
      <c r="Q11" s="31"/>
      <c r="R11" s="31"/>
      <c r="S11" s="31"/>
      <c r="T11" s="31"/>
      <c r="U11" s="31"/>
      <c r="V11" s="31"/>
      <c r="W11" s="31"/>
      <c r="X11" s="31"/>
      <c r="Y11" s="31"/>
      <c r="Z11" s="31"/>
    </row>
    <row r="12" ht="15.75" customHeight="1">
      <c r="B12" s="84"/>
      <c r="E12" s="31"/>
      <c r="F12" s="11"/>
      <c r="J12" s="31"/>
      <c r="K12" s="31"/>
      <c r="L12" s="31"/>
      <c r="M12" s="31"/>
      <c r="N12" s="31"/>
      <c r="O12" s="31"/>
      <c r="P12" s="31"/>
      <c r="Q12" s="31"/>
      <c r="R12" s="31"/>
      <c r="S12" s="31"/>
      <c r="T12" s="31"/>
      <c r="U12" s="31"/>
      <c r="V12" s="31"/>
      <c r="W12" s="31"/>
      <c r="X12" s="31"/>
      <c r="Y12" s="31"/>
      <c r="Z12" s="31"/>
    </row>
    <row r="13" ht="15.75" customHeight="1">
      <c r="B13" s="84"/>
      <c r="E13" s="31"/>
      <c r="F13" s="11"/>
      <c r="J13" s="31"/>
      <c r="K13" s="31"/>
      <c r="L13" s="31"/>
      <c r="M13" s="31"/>
      <c r="N13" s="31"/>
      <c r="O13" s="31"/>
      <c r="P13" s="31"/>
      <c r="Q13" s="31"/>
      <c r="R13" s="31"/>
      <c r="S13" s="31"/>
      <c r="T13" s="31"/>
      <c r="U13" s="31"/>
      <c r="V13" s="31"/>
      <c r="W13" s="31"/>
      <c r="X13" s="31"/>
      <c r="Y13" s="31"/>
      <c r="Z13" s="31"/>
    </row>
    <row r="14" ht="15.75" customHeight="1">
      <c r="B14" s="84"/>
      <c r="E14" s="31"/>
      <c r="F14" s="11"/>
      <c r="J14" s="31"/>
      <c r="K14" s="31"/>
      <c r="L14" s="31"/>
      <c r="M14" s="31"/>
      <c r="N14" s="31"/>
      <c r="O14" s="31"/>
      <c r="P14" s="31"/>
      <c r="Q14" s="31"/>
      <c r="R14" s="31"/>
      <c r="S14" s="31"/>
      <c r="T14" s="31"/>
      <c r="U14" s="31"/>
      <c r="V14" s="31"/>
      <c r="W14" s="31"/>
      <c r="X14" s="31"/>
      <c r="Y14" s="31"/>
      <c r="Z14" s="31"/>
    </row>
    <row r="15" ht="15.75" customHeight="1">
      <c r="B15" s="84"/>
      <c r="E15" s="31"/>
      <c r="F15" s="11"/>
      <c r="J15" s="31"/>
      <c r="K15" s="31"/>
      <c r="L15" s="31"/>
      <c r="M15" s="31"/>
      <c r="N15" s="31"/>
      <c r="O15" s="31"/>
      <c r="P15" s="31"/>
      <c r="Q15" s="31"/>
      <c r="R15" s="31"/>
      <c r="S15" s="31"/>
      <c r="T15" s="31"/>
      <c r="U15" s="31"/>
      <c r="V15" s="31"/>
      <c r="W15" s="31"/>
      <c r="X15" s="31"/>
      <c r="Y15" s="31"/>
      <c r="Z15" s="31"/>
    </row>
    <row r="16" ht="15.75" customHeight="1">
      <c r="B16" s="84"/>
      <c r="E16" s="31"/>
      <c r="F16" s="11"/>
      <c r="J16" s="31"/>
      <c r="K16" s="31"/>
      <c r="L16" s="31"/>
      <c r="M16" s="31"/>
      <c r="N16" s="31"/>
      <c r="O16" s="31"/>
      <c r="P16" s="31"/>
      <c r="Q16" s="31"/>
      <c r="R16" s="31"/>
      <c r="S16" s="31"/>
      <c r="T16" s="31"/>
      <c r="U16" s="31"/>
      <c r="V16" s="31"/>
      <c r="W16" s="31"/>
      <c r="X16" s="31"/>
      <c r="Y16" s="31"/>
      <c r="Z16" s="31"/>
    </row>
    <row r="17" ht="15.75" customHeight="1">
      <c r="B17" s="84"/>
      <c r="E17" s="31"/>
      <c r="F17" s="11"/>
      <c r="J17" s="31"/>
      <c r="K17" s="31"/>
      <c r="L17" s="31"/>
      <c r="M17" s="31"/>
      <c r="N17" s="31"/>
      <c r="O17" s="31"/>
      <c r="P17" s="31"/>
      <c r="Q17" s="31"/>
      <c r="R17" s="31"/>
      <c r="S17" s="31"/>
      <c r="T17" s="31"/>
      <c r="U17" s="31"/>
      <c r="V17" s="31"/>
      <c r="W17" s="31"/>
      <c r="X17" s="31"/>
      <c r="Y17" s="31"/>
      <c r="Z17" s="31"/>
    </row>
    <row r="18" ht="15.75" customHeight="1">
      <c r="B18" s="84"/>
      <c r="E18" s="31"/>
      <c r="F18" s="11"/>
      <c r="J18" s="31"/>
      <c r="K18" s="31"/>
      <c r="L18" s="31"/>
      <c r="M18" s="31"/>
      <c r="N18" s="31"/>
      <c r="O18" s="31"/>
      <c r="P18" s="31"/>
      <c r="Q18" s="31"/>
      <c r="R18" s="31"/>
      <c r="S18" s="31"/>
      <c r="T18" s="31"/>
      <c r="U18" s="31"/>
      <c r="V18" s="31"/>
      <c r="W18" s="31"/>
      <c r="X18" s="31"/>
      <c r="Y18" s="31"/>
      <c r="Z18" s="31"/>
    </row>
    <row r="19" ht="15.75" customHeight="1">
      <c r="B19" s="84"/>
      <c r="E19" s="31"/>
      <c r="F19" s="11"/>
      <c r="J19" s="31"/>
      <c r="K19" s="31"/>
      <c r="L19" s="31"/>
      <c r="M19" s="31"/>
      <c r="N19" s="31"/>
      <c r="O19" s="31"/>
      <c r="P19" s="31"/>
      <c r="Q19" s="31"/>
      <c r="R19" s="31"/>
      <c r="S19" s="31"/>
      <c r="T19" s="31"/>
      <c r="U19" s="31"/>
      <c r="V19" s="31"/>
      <c r="W19" s="31"/>
      <c r="X19" s="31"/>
      <c r="Y19" s="31"/>
      <c r="Z19" s="31"/>
    </row>
    <row r="20" ht="15.75" customHeight="1">
      <c r="B20" s="84"/>
      <c r="E20" s="31"/>
      <c r="F20" s="11"/>
      <c r="J20" s="31"/>
      <c r="K20" s="31"/>
      <c r="L20" s="31"/>
      <c r="M20" s="31"/>
      <c r="N20" s="31"/>
      <c r="O20" s="31"/>
      <c r="P20" s="31"/>
      <c r="Q20" s="31"/>
      <c r="R20" s="31"/>
      <c r="S20" s="31"/>
      <c r="T20" s="31"/>
      <c r="U20" s="31"/>
      <c r="V20" s="31"/>
      <c r="W20" s="31"/>
      <c r="X20" s="31"/>
      <c r="Y20" s="31"/>
      <c r="Z20" s="31"/>
    </row>
    <row r="21" ht="15.75" customHeight="1">
      <c r="B21" s="84"/>
      <c r="E21" s="31"/>
      <c r="F21" s="11"/>
      <c r="J21" s="31"/>
      <c r="K21" s="31"/>
      <c r="L21" s="31"/>
      <c r="M21" s="31"/>
      <c r="N21" s="31"/>
      <c r="O21" s="31"/>
      <c r="P21" s="31"/>
      <c r="Q21" s="31"/>
      <c r="R21" s="31"/>
      <c r="S21" s="31"/>
      <c r="T21" s="31"/>
      <c r="U21" s="31"/>
      <c r="V21" s="31"/>
      <c r="W21" s="31"/>
      <c r="X21" s="31"/>
      <c r="Y21" s="31"/>
      <c r="Z21" s="31"/>
    </row>
    <row r="22" ht="15.75" customHeight="1">
      <c r="B22" s="84"/>
      <c r="E22" s="31"/>
      <c r="F22" s="11"/>
      <c r="J22" s="31"/>
      <c r="K22" s="31"/>
      <c r="L22" s="31"/>
      <c r="M22" s="31"/>
      <c r="N22" s="31"/>
      <c r="O22" s="31"/>
      <c r="P22" s="31"/>
      <c r="Q22" s="31"/>
      <c r="R22" s="31"/>
      <c r="S22" s="31"/>
      <c r="T22" s="31"/>
      <c r="U22" s="31"/>
      <c r="V22" s="31"/>
      <c r="W22" s="31"/>
      <c r="X22" s="31"/>
      <c r="Y22" s="31"/>
      <c r="Z22" s="31"/>
    </row>
    <row r="23" ht="15.75" customHeight="1">
      <c r="B23" s="84"/>
      <c r="E23" s="31"/>
      <c r="F23" s="11"/>
      <c r="J23" s="31"/>
      <c r="K23" s="31"/>
      <c r="L23" s="31"/>
      <c r="M23" s="31"/>
      <c r="N23" s="31"/>
      <c r="O23" s="31"/>
      <c r="P23" s="31"/>
      <c r="Q23" s="31"/>
      <c r="R23" s="31"/>
      <c r="S23" s="31"/>
      <c r="T23" s="31"/>
      <c r="U23" s="31"/>
      <c r="V23" s="31"/>
      <c r="W23" s="31"/>
      <c r="X23" s="31"/>
      <c r="Y23" s="31"/>
      <c r="Z23" s="31"/>
    </row>
    <row r="24" ht="15.75" customHeight="1">
      <c r="B24" s="84"/>
      <c r="E24" s="31"/>
      <c r="F24" s="11"/>
      <c r="J24" s="31"/>
      <c r="K24" s="31"/>
      <c r="L24" s="31"/>
      <c r="M24" s="31"/>
      <c r="N24" s="31"/>
      <c r="O24" s="31"/>
      <c r="P24" s="31"/>
      <c r="Q24" s="31"/>
      <c r="R24" s="31"/>
      <c r="S24" s="31"/>
      <c r="T24" s="31"/>
      <c r="U24" s="31"/>
      <c r="V24" s="31"/>
      <c r="W24" s="31"/>
      <c r="X24" s="31"/>
      <c r="Y24" s="31"/>
      <c r="Z24" s="31"/>
    </row>
    <row r="25" ht="15.75" customHeight="1">
      <c r="B25" s="84"/>
      <c r="E25" s="31"/>
      <c r="F25" s="11"/>
      <c r="J25" s="31"/>
      <c r="K25" s="31"/>
      <c r="L25" s="31"/>
      <c r="M25" s="31"/>
      <c r="N25" s="31"/>
      <c r="O25" s="31"/>
      <c r="P25" s="31"/>
      <c r="Q25" s="31"/>
      <c r="R25" s="31"/>
      <c r="S25" s="31"/>
      <c r="T25" s="31"/>
      <c r="U25" s="31"/>
      <c r="V25" s="31"/>
      <c r="W25" s="31"/>
      <c r="X25" s="31"/>
      <c r="Y25" s="31"/>
      <c r="Z25" s="31"/>
    </row>
    <row r="26" ht="15.75" customHeight="1">
      <c r="B26" s="84"/>
      <c r="E26" s="31"/>
      <c r="F26" s="11"/>
      <c r="J26" s="31"/>
      <c r="K26" s="31"/>
      <c r="L26" s="31"/>
      <c r="M26" s="31"/>
      <c r="N26" s="31"/>
      <c r="O26" s="31"/>
      <c r="P26" s="31"/>
      <c r="Q26" s="31"/>
      <c r="R26" s="31"/>
      <c r="S26" s="31"/>
      <c r="T26" s="31"/>
      <c r="U26" s="31"/>
      <c r="V26" s="31"/>
      <c r="W26" s="31"/>
      <c r="X26" s="31"/>
      <c r="Y26" s="31"/>
      <c r="Z26" s="31"/>
    </row>
    <row r="27" ht="15.75" customHeight="1">
      <c r="B27" s="84"/>
      <c r="E27" s="31"/>
      <c r="F27" s="11"/>
      <c r="J27" s="31"/>
      <c r="K27" s="31"/>
      <c r="L27" s="31"/>
      <c r="M27" s="31"/>
      <c r="N27" s="31"/>
      <c r="O27" s="31"/>
      <c r="P27" s="31"/>
      <c r="Q27" s="31"/>
      <c r="R27" s="31"/>
      <c r="S27" s="31"/>
      <c r="T27" s="31"/>
      <c r="U27" s="31"/>
      <c r="V27" s="31"/>
      <c r="W27" s="31"/>
      <c r="X27" s="31"/>
      <c r="Y27" s="31"/>
      <c r="Z27" s="31"/>
    </row>
    <row r="28" ht="15.75" customHeight="1">
      <c r="B28" s="84"/>
      <c r="E28" s="31"/>
      <c r="F28" s="11"/>
      <c r="J28" s="31"/>
      <c r="K28" s="31"/>
      <c r="L28" s="31"/>
      <c r="M28" s="31"/>
      <c r="N28" s="31"/>
      <c r="O28" s="31"/>
      <c r="P28" s="31"/>
      <c r="Q28" s="31"/>
      <c r="R28" s="31"/>
      <c r="S28" s="31"/>
      <c r="T28" s="31"/>
      <c r="U28" s="31"/>
      <c r="V28" s="31"/>
      <c r="W28" s="31"/>
      <c r="X28" s="31"/>
      <c r="Y28" s="31"/>
      <c r="Z28" s="31"/>
    </row>
    <row r="29" ht="15.75" customHeight="1">
      <c r="B29" s="84"/>
      <c r="E29" s="31"/>
      <c r="F29" s="11"/>
      <c r="J29" s="31"/>
      <c r="K29" s="31"/>
      <c r="L29" s="31"/>
      <c r="M29" s="31"/>
      <c r="N29" s="31"/>
      <c r="O29" s="31"/>
      <c r="P29" s="31"/>
      <c r="Q29" s="31"/>
      <c r="R29" s="31"/>
      <c r="S29" s="31"/>
      <c r="T29" s="31"/>
      <c r="U29" s="31"/>
      <c r="V29" s="31"/>
      <c r="W29" s="31"/>
      <c r="X29" s="31"/>
      <c r="Y29" s="31"/>
      <c r="Z29" s="31"/>
    </row>
    <row r="30" ht="15.75" customHeight="1">
      <c r="B30" s="84"/>
      <c r="E30" s="31"/>
      <c r="F30" s="11"/>
      <c r="J30" s="31"/>
      <c r="K30" s="31"/>
      <c r="L30" s="31"/>
      <c r="M30" s="31"/>
      <c r="N30" s="31"/>
      <c r="O30" s="31"/>
      <c r="P30" s="31"/>
      <c r="Q30" s="31"/>
      <c r="R30" s="31"/>
      <c r="S30" s="31"/>
      <c r="T30" s="31"/>
      <c r="U30" s="31"/>
      <c r="V30" s="31"/>
      <c r="W30" s="31"/>
      <c r="X30" s="31"/>
      <c r="Y30" s="31"/>
      <c r="Z30" s="31"/>
    </row>
    <row r="31" ht="15.75" customHeight="1">
      <c r="B31" s="84"/>
      <c r="E31" s="31"/>
      <c r="F31" s="11"/>
      <c r="J31" s="31"/>
      <c r="K31" s="31"/>
      <c r="L31" s="31"/>
      <c r="M31" s="31"/>
      <c r="N31" s="31"/>
      <c r="O31" s="31"/>
      <c r="P31" s="31"/>
      <c r="Q31" s="31"/>
      <c r="R31" s="31"/>
      <c r="S31" s="31"/>
      <c r="T31" s="31"/>
      <c r="U31" s="31"/>
      <c r="V31" s="31"/>
      <c r="W31" s="31"/>
      <c r="X31" s="31"/>
      <c r="Y31" s="31"/>
      <c r="Z31" s="31"/>
    </row>
    <row r="32" ht="15.75" customHeight="1">
      <c r="B32" s="84"/>
      <c r="E32" s="31"/>
      <c r="F32" s="11"/>
      <c r="J32" s="31"/>
      <c r="K32" s="31"/>
      <c r="L32" s="31"/>
      <c r="M32" s="31"/>
      <c r="N32" s="31"/>
      <c r="O32" s="31"/>
      <c r="P32" s="31"/>
      <c r="Q32" s="31"/>
      <c r="R32" s="31"/>
      <c r="S32" s="31"/>
      <c r="T32" s="31"/>
      <c r="U32" s="31"/>
      <c r="V32" s="31"/>
      <c r="W32" s="31"/>
      <c r="X32" s="31"/>
      <c r="Y32" s="31"/>
      <c r="Z32" s="31"/>
    </row>
    <row r="33" ht="15.75" customHeight="1">
      <c r="B33" s="84"/>
      <c r="E33" s="31"/>
      <c r="F33" s="11"/>
      <c r="J33" s="31"/>
      <c r="K33" s="31"/>
      <c r="L33" s="31"/>
      <c r="M33" s="31"/>
      <c r="N33" s="31"/>
      <c r="O33" s="31"/>
      <c r="P33" s="31"/>
      <c r="Q33" s="31"/>
      <c r="R33" s="31"/>
      <c r="S33" s="31"/>
      <c r="T33" s="31"/>
      <c r="U33" s="31"/>
      <c r="V33" s="31"/>
      <c r="W33" s="31"/>
      <c r="X33" s="31"/>
      <c r="Y33" s="31"/>
      <c r="Z33" s="31"/>
    </row>
    <row r="34" ht="15.75" customHeight="1">
      <c r="B34" s="84"/>
      <c r="E34" s="31"/>
      <c r="F34" s="11"/>
      <c r="J34" s="31"/>
      <c r="K34" s="31"/>
      <c r="L34" s="31"/>
      <c r="M34" s="31"/>
      <c r="N34" s="31"/>
      <c r="O34" s="31"/>
      <c r="P34" s="31"/>
      <c r="Q34" s="31"/>
      <c r="R34" s="31"/>
      <c r="S34" s="31"/>
      <c r="T34" s="31"/>
      <c r="U34" s="31"/>
      <c r="V34" s="31"/>
      <c r="W34" s="31"/>
      <c r="X34" s="31"/>
      <c r="Y34" s="31"/>
      <c r="Z34" s="31"/>
    </row>
    <row r="35" ht="15.75" customHeight="1">
      <c r="B35" s="84"/>
      <c r="E35" s="31"/>
      <c r="F35" s="11"/>
      <c r="J35" s="31"/>
      <c r="K35" s="31"/>
      <c r="L35" s="31"/>
      <c r="M35" s="31"/>
      <c r="N35" s="31"/>
      <c r="O35" s="31"/>
      <c r="P35" s="31"/>
      <c r="Q35" s="31"/>
      <c r="R35" s="31"/>
      <c r="S35" s="31"/>
      <c r="T35" s="31"/>
      <c r="U35" s="31"/>
      <c r="V35" s="31"/>
      <c r="W35" s="31"/>
      <c r="X35" s="31"/>
      <c r="Y35" s="31"/>
      <c r="Z35" s="31"/>
    </row>
    <row r="36" ht="15.75" customHeight="1">
      <c r="B36" s="84"/>
      <c r="E36" s="31"/>
      <c r="F36" s="11"/>
      <c r="J36" s="31"/>
      <c r="K36" s="31"/>
      <c r="L36" s="31"/>
      <c r="M36" s="31"/>
      <c r="N36" s="31"/>
      <c r="O36" s="31"/>
      <c r="P36" s="31"/>
      <c r="Q36" s="31"/>
      <c r="R36" s="31"/>
      <c r="S36" s="31"/>
      <c r="T36" s="31"/>
      <c r="U36" s="31"/>
      <c r="V36" s="31"/>
      <c r="W36" s="31"/>
      <c r="X36" s="31"/>
      <c r="Y36" s="31"/>
      <c r="Z36" s="31"/>
    </row>
    <row r="37" ht="15.75" customHeight="1">
      <c r="B37" s="84"/>
      <c r="E37" s="31"/>
      <c r="F37" s="11"/>
      <c r="J37" s="31"/>
      <c r="K37" s="31"/>
      <c r="L37" s="31"/>
      <c r="M37" s="31"/>
      <c r="N37" s="31"/>
      <c r="O37" s="31"/>
      <c r="P37" s="31"/>
      <c r="Q37" s="31"/>
      <c r="R37" s="31"/>
      <c r="S37" s="31"/>
      <c r="T37" s="31"/>
      <c r="U37" s="31"/>
      <c r="V37" s="31"/>
      <c r="W37" s="31"/>
      <c r="X37" s="31"/>
      <c r="Y37" s="31"/>
      <c r="Z37" s="31"/>
    </row>
    <row r="38" ht="15.75" customHeight="1">
      <c r="B38" s="84"/>
      <c r="E38" s="31"/>
      <c r="F38" s="11"/>
      <c r="J38" s="31"/>
      <c r="K38" s="31"/>
      <c r="L38" s="31"/>
      <c r="M38" s="31"/>
      <c r="N38" s="31"/>
      <c r="O38" s="31"/>
      <c r="P38" s="31"/>
      <c r="Q38" s="31"/>
      <c r="R38" s="31"/>
      <c r="S38" s="31"/>
      <c r="T38" s="31"/>
      <c r="U38" s="31"/>
      <c r="V38" s="31"/>
      <c r="W38" s="31"/>
      <c r="X38" s="31"/>
      <c r="Y38" s="31"/>
      <c r="Z38" s="31"/>
    </row>
    <row r="39" ht="15.75" customHeight="1">
      <c r="B39" s="84"/>
      <c r="E39" s="31"/>
      <c r="F39" s="11"/>
      <c r="J39" s="31"/>
      <c r="K39" s="31"/>
      <c r="L39" s="31"/>
      <c r="M39" s="31"/>
      <c r="N39" s="31"/>
      <c r="O39" s="31"/>
      <c r="P39" s="31"/>
      <c r="Q39" s="31"/>
      <c r="R39" s="31"/>
      <c r="S39" s="31"/>
      <c r="T39" s="31"/>
      <c r="U39" s="31"/>
      <c r="V39" s="31"/>
      <c r="W39" s="31"/>
      <c r="X39" s="31"/>
      <c r="Y39" s="31"/>
      <c r="Z39" s="31"/>
    </row>
    <row r="40" ht="15.75" customHeight="1">
      <c r="B40" s="84"/>
      <c r="E40" s="31"/>
      <c r="F40" s="11"/>
      <c r="J40" s="31"/>
      <c r="K40" s="31"/>
      <c r="L40" s="31"/>
      <c r="M40" s="31"/>
      <c r="N40" s="31"/>
      <c r="O40" s="31"/>
      <c r="P40" s="31"/>
      <c r="Q40" s="31"/>
      <c r="R40" s="31"/>
      <c r="S40" s="31"/>
      <c r="T40" s="31"/>
      <c r="U40" s="31"/>
      <c r="V40" s="31"/>
      <c r="W40" s="31"/>
      <c r="X40" s="31"/>
      <c r="Y40" s="31"/>
      <c r="Z40" s="31"/>
    </row>
    <row r="41" ht="15.75" customHeight="1">
      <c r="B41" s="84"/>
      <c r="E41" s="31"/>
      <c r="F41" s="11"/>
      <c r="J41" s="31"/>
      <c r="K41" s="31"/>
      <c r="L41" s="31"/>
      <c r="M41" s="31"/>
      <c r="N41" s="31"/>
      <c r="O41" s="31"/>
      <c r="P41" s="31"/>
      <c r="Q41" s="31"/>
      <c r="R41" s="31"/>
      <c r="S41" s="31"/>
      <c r="T41" s="31"/>
      <c r="U41" s="31"/>
      <c r="V41" s="31"/>
      <c r="W41" s="31"/>
      <c r="X41" s="31"/>
      <c r="Y41" s="31"/>
      <c r="Z41" s="31"/>
    </row>
    <row r="42" ht="15.75" customHeight="1">
      <c r="B42" s="84"/>
      <c r="E42" s="31"/>
      <c r="F42" s="11"/>
      <c r="J42" s="31"/>
      <c r="K42" s="31"/>
      <c r="L42" s="31"/>
      <c r="M42" s="31"/>
      <c r="N42" s="31"/>
      <c r="O42" s="31"/>
      <c r="P42" s="31"/>
      <c r="Q42" s="31"/>
      <c r="R42" s="31"/>
      <c r="S42" s="31"/>
      <c r="T42" s="31"/>
      <c r="U42" s="31"/>
      <c r="V42" s="31"/>
      <c r="W42" s="31"/>
      <c r="X42" s="31"/>
      <c r="Y42" s="31"/>
      <c r="Z42" s="31"/>
    </row>
    <row r="43" ht="15.75" customHeight="1">
      <c r="B43" s="84"/>
      <c r="E43" s="31"/>
      <c r="F43" s="11"/>
      <c r="J43" s="31"/>
      <c r="K43" s="31"/>
      <c r="L43" s="31"/>
      <c r="M43" s="31"/>
      <c r="N43" s="31"/>
      <c r="O43" s="31"/>
      <c r="P43" s="31"/>
      <c r="Q43" s="31"/>
      <c r="R43" s="31"/>
      <c r="S43" s="31"/>
      <c r="T43" s="31"/>
      <c r="U43" s="31"/>
      <c r="V43" s="31"/>
      <c r="W43" s="31"/>
      <c r="X43" s="31"/>
      <c r="Y43" s="31"/>
      <c r="Z43" s="31"/>
    </row>
    <row r="44" ht="15.75" customHeight="1">
      <c r="B44" s="84"/>
      <c r="E44" s="31"/>
      <c r="F44" s="11"/>
      <c r="J44" s="31"/>
      <c r="K44" s="31"/>
      <c r="L44" s="31"/>
      <c r="M44" s="31"/>
      <c r="N44" s="31"/>
      <c r="O44" s="31"/>
      <c r="P44" s="31"/>
      <c r="Q44" s="31"/>
      <c r="R44" s="31"/>
      <c r="S44" s="31"/>
      <c r="T44" s="31"/>
      <c r="U44" s="31"/>
      <c r="V44" s="31"/>
      <c r="W44" s="31"/>
      <c r="X44" s="31"/>
      <c r="Y44" s="31"/>
      <c r="Z44" s="31"/>
    </row>
    <row r="45" ht="15.75" customHeight="1">
      <c r="B45" s="84"/>
      <c r="E45" s="31"/>
      <c r="F45" s="11"/>
      <c r="J45" s="31"/>
      <c r="K45" s="31"/>
      <c r="L45" s="31"/>
      <c r="M45" s="31"/>
      <c r="N45" s="31"/>
      <c r="O45" s="31"/>
      <c r="P45" s="31"/>
      <c r="Q45" s="31"/>
      <c r="R45" s="31"/>
      <c r="S45" s="31"/>
      <c r="T45" s="31"/>
      <c r="U45" s="31"/>
      <c r="V45" s="31"/>
      <c r="W45" s="31"/>
      <c r="X45" s="31"/>
      <c r="Y45" s="31"/>
      <c r="Z45" s="31"/>
    </row>
    <row r="46" ht="15.75" customHeight="1">
      <c r="B46" s="84"/>
      <c r="E46" s="31"/>
      <c r="F46" s="11"/>
      <c r="J46" s="31"/>
      <c r="K46" s="31"/>
      <c r="L46" s="31"/>
      <c r="M46" s="31"/>
      <c r="N46" s="31"/>
      <c r="O46" s="31"/>
      <c r="P46" s="31"/>
      <c r="Q46" s="31"/>
      <c r="R46" s="31"/>
      <c r="S46" s="31"/>
      <c r="T46" s="31"/>
      <c r="U46" s="31"/>
      <c r="V46" s="31"/>
      <c r="W46" s="31"/>
      <c r="X46" s="31"/>
      <c r="Y46" s="31"/>
      <c r="Z46" s="31"/>
    </row>
    <row r="47" ht="15.75" customHeight="1">
      <c r="B47" s="84"/>
      <c r="E47" s="31"/>
      <c r="F47" s="11"/>
      <c r="J47" s="31"/>
      <c r="K47" s="31"/>
      <c r="L47" s="31"/>
      <c r="M47" s="31"/>
      <c r="N47" s="31"/>
      <c r="O47" s="31"/>
      <c r="P47" s="31"/>
      <c r="Q47" s="31"/>
      <c r="R47" s="31"/>
      <c r="S47" s="31"/>
      <c r="T47" s="31"/>
      <c r="U47" s="31"/>
      <c r="V47" s="31"/>
      <c r="W47" s="31"/>
      <c r="X47" s="31"/>
      <c r="Y47" s="31"/>
      <c r="Z47" s="31"/>
    </row>
    <row r="48" ht="15.75" customHeight="1">
      <c r="B48" s="84"/>
      <c r="E48" s="31"/>
      <c r="F48" s="11"/>
      <c r="J48" s="31"/>
      <c r="K48" s="31"/>
      <c r="L48" s="31"/>
      <c r="M48" s="31"/>
      <c r="N48" s="31"/>
      <c r="O48" s="31"/>
      <c r="P48" s="31"/>
      <c r="Q48" s="31"/>
      <c r="R48" s="31"/>
      <c r="S48" s="31"/>
      <c r="T48" s="31"/>
      <c r="U48" s="31"/>
      <c r="V48" s="31"/>
      <c r="W48" s="31"/>
      <c r="X48" s="31"/>
      <c r="Y48" s="31"/>
      <c r="Z48" s="31"/>
    </row>
    <row r="49" ht="15.75" customHeight="1">
      <c r="B49" s="84"/>
      <c r="E49" s="31"/>
      <c r="F49" s="11"/>
      <c r="J49" s="31"/>
      <c r="K49" s="31"/>
      <c r="L49" s="31"/>
      <c r="M49" s="31"/>
      <c r="N49" s="31"/>
      <c r="O49" s="31"/>
      <c r="P49" s="31"/>
      <c r="Q49" s="31"/>
      <c r="R49" s="31"/>
      <c r="S49" s="31"/>
      <c r="T49" s="31"/>
      <c r="U49" s="31"/>
      <c r="V49" s="31"/>
      <c r="W49" s="31"/>
      <c r="X49" s="31"/>
      <c r="Y49" s="31"/>
      <c r="Z49" s="31"/>
    </row>
    <row r="50" ht="15.75" customHeight="1">
      <c r="B50" s="84"/>
      <c r="E50" s="31"/>
      <c r="F50" s="11"/>
      <c r="J50" s="31"/>
      <c r="K50" s="31"/>
      <c r="L50" s="31"/>
      <c r="M50" s="31"/>
      <c r="N50" s="31"/>
      <c r="O50" s="31"/>
      <c r="P50" s="31"/>
      <c r="Q50" s="31"/>
      <c r="R50" s="31"/>
      <c r="S50" s="31"/>
      <c r="T50" s="31"/>
      <c r="U50" s="31"/>
      <c r="V50" s="31"/>
      <c r="W50" s="31"/>
      <c r="X50" s="31"/>
      <c r="Y50" s="31"/>
      <c r="Z50" s="31"/>
    </row>
    <row r="51" ht="15.75" customHeight="1">
      <c r="B51" s="84"/>
      <c r="E51" s="31"/>
      <c r="F51" s="11"/>
      <c r="J51" s="31"/>
      <c r="K51" s="31"/>
      <c r="L51" s="31"/>
      <c r="M51" s="31"/>
      <c r="N51" s="31"/>
      <c r="O51" s="31"/>
      <c r="P51" s="31"/>
      <c r="Q51" s="31"/>
      <c r="R51" s="31"/>
      <c r="S51" s="31"/>
      <c r="T51" s="31"/>
      <c r="U51" s="31"/>
      <c r="V51" s="31"/>
      <c r="W51" s="31"/>
      <c r="X51" s="31"/>
      <c r="Y51" s="31"/>
      <c r="Z51" s="31"/>
    </row>
    <row r="52" ht="15.75" customHeight="1">
      <c r="B52" s="84"/>
      <c r="E52" s="31"/>
      <c r="F52" s="11"/>
      <c r="J52" s="31"/>
      <c r="K52" s="31"/>
      <c r="L52" s="31"/>
      <c r="M52" s="31"/>
      <c r="N52" s="31"/>
      <c r="O52" s="31"/>
      <c r="P52" s="31"/>
      <c r="Q52" s="31"/>
      <c r="R52" s="31"/>
      <c r="S52" s="31"/>
      <c r="T52" s="31"/>
      <c r="U52" s="31"/>
      <c r="V52" s="31"/>
      <c r="W52" s="31"/>
      <c r="X52" s="31"/>
      <c r="Y52" s="31"/>
      <c r="Z52" s="31"/>
    </row>
    <row r="53" ht="15.75" customHeight="1">
      <c r="B53" s="84"/>
      <c r="E53" s="31"/>
      <c r="F53" s="11"/>
      <c r="J53" s="31"/>
      <c r="K53" s="31"/>
      <c r="L53" s="31"/>
      <c r="M53" s="31"/>
      <c r="N53" s="31"/>
      <c r="O53" s="31"/>
      <c r="P53" s="31"/>
      <c r="Q53" s="31"/>
      <c r="R53" s="31"/>
      <c r="S53" s="31"/>
      <c r="T53" s="31"/>
      <c r="U53" s="31"/>
      <c r="V53" s="31"/>
      <c r="W53" s="31"/>
      <c r="X53" s="31"/>
      <c r="Y53" s="31"/>
      <c r="Z53" s="31"/>
    </row>
    <row r="54" ht="15.75" customHeight="1">
      <c r="B54" s="84"/>
      <c r="E54" s="31"/>
      <c r="F54" s="11"/>
      <c r="J54" s="31"/>
      <c r="K54" s="31"/>
      <c r="L54" s="31"/>
      <c r="M54" s="31"/>
      <c r="N54" s="31"/>
      <c r="O54" s="31"/>
      <c r="P54" s="31"/>
      <c r="Q54" s="31"/>
      <c r="R54" s="31"/>
      <c r="S54" s="31"/>
      <c r="T54" s="31"/>
      <c r="U54" s="31"/>
      <c r="V54" s="31"/>
      <c r="W54" s="31"/>
      <c r="X54" s="31"/>
      <c r="Y54" s="31"/>
      <c r="Z54" s="31"/>
    </row>
    <row r="55" ht="15.75" customHeight="1">
      <c r="B55" s="84"/>
      <c r="E55" s="31"/>
      <c r="F55" s="11"/>
      <c r="J55" s="31"/>
      <c r="K55" s="31"/>
      <c r="L55" s="31"/>
      <c r="M55" s="31"/>
      <c r="N55" s="31"/>
      <c r="O55" s="31"/>
      <c r="P55" s="31"/>
      <c r="Q55" s="31"/>
      <c r="R55" s="31"/>
      <c r="S55" s="31"/>
      <c r="T55" s="31"/>
      <c r="U55" s="31"/>
      <c r="V55" s="31"/>
      <c r="W55" s="31"/>
      <c r="X55" s="31"/>
      <c r="Y55" s="31"/>
      <c r="Z55" s="31"/>
    </row>
    <row r="56" ht="15.75" customHeight="1">
      <c r="B56" s="84"/>
      <c r="E56" s="31"/>
      <c r="F56" s="11"/>
      <c r="J56" s="31"/>
      <c r="K56" s="31"/>
      <c r="L56" s="31"/>
      <c r="M56" s="31"/>
      <c r="N56" s="31"/>
      <c r="O56" s="31"/>
      <c r="P56" s="31"/>
      <c r="Q56" s="31"/>
      <c r="R56" s="31"/>
      <c r="S56" s="31"/>
      <c r="T56" s="31"/>
      <c r="U56" s="31"/>
      <c r="V56" s="31"/>
      <c r="W56" s="31"/>
      <c r="X56" s="31"/>
      <c r="Y56" s="31"/>
      <c r="Z56" s="31"/>
    </row>
    <row r="57" ht="15.75" customHeight="1">
      <c r="B57" s="84"/>
      <c r="E57" s="31"/>
      <c r="F57" s="11"/>
      <c r="J57" s="31"/>
      <c r="K57" s="31"/>
      <c r="L57" s="31"/>
      <c r="M57" s="31"/>
      <c r="N57" s="31"/>
      <c r="O57" s="31"/>
      <c r="P57" s="31"/>
      <c r="Q57" s="31"/>
      <c r="R57" s="31"/>
      <c r="S57" s="31"/>
      <c r="T57" s="31"/>
      <c r="U57" s="31"/>
      <c r="V57" s="31"/>
      <c r="W57" s="31"/>
      <c r="X57" s="31"/>
      <c r="Y57" s="31"/>
      <c r="Z57" s="31"/>
    </row>
    <row r="58" ht="15.75" customHeight="1">
      <c r="B58" s="84"/>
      <c r="E58" s="31"/>
      <c r="F58" s="11"/>
      <c r="J58" s="31"/>
      <c r="K58" s="31"/>
      <c r="L58" s="31"/>
      <c r="M58" s="31"/>
      <c r="N58" s="31"/>
      <c r="O58" s="31"/>
      <c r="P58" s="31"/>
      <c r="Q58" s="31"/>
      <c r="R58" s="31"/>
      <c r="S58" s="31"/>
      <c r="T58" s="31"/>
      <c r="U58" s="31"/>
      <c r="V58" s="31"/>
      <c r="W58" s="31"/>
      <c r="X58" s="31"/>
      <c r="Y58" s="31"/>
      <c r="Z58" s="31"/>
    </row>
    <row r="59" ht="15.75" customHeight="1">
      <c r="B59" s="84"/>
      <c r="E59" s="31"/>
      <c r="F59" s="11"/>
      <c r="J59" s="31"/>
      <c r="K59" s="31"/>
      <c r="L59" s="31"/>
      <c r="M59" s="31"/>
      <c r="N59" s="31"/>
      <c r="O59" s="31"/>
      <c r="P59" s="31"/>
      <c r="Q59" s="31"/>
      <c r="R59" s="31"/>
      <c r="S59" s="31"/>
      <c r="T59" s="31"/>
      <c r="U59" s="31"/>
      <c r="V59" s="31"/>
      <c r="W59" s="31"/>
      <c r="X59" s="31"/>
      <c r="Y59" s="31"/>
      <c r="Z59" s="31"/>
    </row>
    <row r="60" ht="15.75" customHeight="1">
      <c r="B60" s="84"/>
      <c r="E60" s="31"/>
      <c r="F60" s="11"/>
      <c r="J60" s="31"/>
      <c r="K60" s="31"/>
      <c r="L60" s="31"/>
      <c r="M60" s="31"/>
      <c r="N60" s="31"/>
      <c r="O60" s="31"/>
      <c r="P60" s="31"/>
      <c r="Q60" s="31"/>
      <c r="R60" s="31"/>
      <c r="S60" s="31"/>
      <c r="T60" s="31"/>
      <c r="U60" s="31"/>
      <c r="V60" s="31"/>
      <c r="W60" s="31"/>
      <c r="X60" s="31"/>
      <c r="Y60" s="31"/>
      <c r="Z60" s="31"/>
    </row>
    <row r="61" ht="15.75" customHeight="1">
      <c r="B61" s="84"/>
      <c r="E61" s="31"/>
      <c r="F61" s="11"/>
      <c r="J61" s="31"/>
      <c r="K61" s="31"/>
      <c r="L61" s="31"/>
      <c r="M61" s="31"/>
      <c r="N61" s="31"/>
      <c r="O61" s="31"/>
      <c r="P61" s="31"/>
      <c r="Q61" s="31"/>
      <c r="R61" s="31"/>
      <c r="S61" s="31"/>
      <c r="T61" s="31"/>
      <c r="U61" s="31"/>
      <c r="V61" s="31"/>
      <c r="W61" s="31"/>
      <c r="X61" s="31"/>
      <c r="Y61" s="31"/>
      <c r="Z61" s="31"/>
    </row>
    <row r="62" ht="15.75" customHeight="1">
      <c r="B62" s="84"/>
      <c r="E62" s="31"/>
      <c r="F62" s="11"/>
      <c r="J62" s="31"/>
      <c r="K62" s="31"/>
      <c r="L62" s="31"/>
      <c r="M62" s="31"/>
      <c r="N62" s="31"/>
      <c r="O62" s="31"/>
      <c r="P62" s="31"/>
      <c r="Q62" s="31"/>
      <c r="R62" s="31"/>
      <c r="S62" s="31"/>
      <c r="T62" s="31"/>
      <c r="U62" s="31"/>
      <c r="V62" s="31"/>
      <c r="W62" s="31"/>
      <c r="X62" s="31"/>
      <c r="Y62" s="31"/>
      <c r="Z62" s="31"/>
    </row>
    <row r="63" ht="15.75" customHeight="1">
      <c r="B63" s="84"/>
      <c r="E63" s="31"/>
      <c r="F63" s="11"/>
      <c r="J63" s="31"/>
      <c r="K63" s="31"/>
      <c r="L63" s="31"/>
      <c r="M63" s="31"/>
      <c r="N63" s="31"/>
      <c r="O63" s="31"/>
      <c r="P63" s="31"/>
      <c r="Q63" s="31"/>
      <c r="R63" s="31"/>
      <c r="S63" s="31"/>
      <c r="T63" s="31"/>
      <c r="U63" s="31"/>
      <c r="V63" s="31"/>
      <c r="W63" s="31"/>
      <c r="X63" s="31"/>
      <c r="Y63" s="31"/>
      <c r="Z63" s="31"/>
    </row>
    <row r="64" ht="15.75" customHeight="1">
      <c r="B64" s="84"/>
      <c r="E64" s="31"/>
      <c r="F64" s="11"/>
      <c r="J64" s="31"/>
      <c r="K64" s="31"/>
      <c r="L64" s="31"/>
      <c r="M64" s="31"/>
      <c r="N64" s="31"/>
      <c r="O64" s="31"/>
      <c r="P64" s="31"/>
      <c r="Q64" s="31"/>
      <c r="R64" s="31"/>
      <c r="S64" s="31"/>
      <c r="T64" s="31"/>
      <c r="U64" s="31"/>
      <c r="V64" s="31"/>
      <c r="W64" s="31"/>
      <c r="X64" s="31"/>
      <c r="Y64" s="31"/>
      <c r="Z64" s="31"/>
    </row>
    <row r="65" ht="15.75" customHeight="1">
      <c r="B65" s="84"/>
      <c r="E65" s="31"/>
      <c r="F65" s="11"/>
      <c r="J65" s="31"/>
      <c r="K65" s="31"/>
      <c r="L65" s="31"/>
      <c r="M65" s="31"/>
      <c r="N65" s="31"/>
      <c r="O65" s="31"/>
      <c r="P65" s="31"/>
      <c r="Q65" s="31"/>
      <c r="R65" s="31"/>
      <c r="S65" s="31"/>
      <c r="T65" s="31"/>
      <c r="U65" s="31"/>
      <c r="V65" s="31"/>
      <c r="W65" s="31"/>
      <c r="X65" s="31"/>
      <c r="Y65" s="31"/>
      <c r="Z65" s="31"/>
    </row>
    <row r="66" ht="15.75" customHeight="1">
      <c r="B66" s="84"/>
      <c r="E66" s="31"/>
      <c r="F66" s="11"/>
      <c r="J66" s="31"/>
      <c r="K66" s="31"/>
      <c r="L66" s="31"/>
      <c r="M66" s="31"/>
      <c r="N66" s="31"/>
      <c r="O66" s="31"/>
      <c r="P66" s="31"/>
      <c r="Q66" s="31"/>
      <c r="R66" s="31"/>
      <c r="S66" s="31"/>
      <c r="T66" s="31"/>
      <c r="U66" s="31"/>
      <c r="V66" s="31"/>
      <c r="W66" s="31"/>
      <c r="X66" s="31"/>
      <c r="Y66" s="31"/>
      <c r="Z66" s="31"/>
    </row>
    <row r="67" ht="15.75" customHeight="1">
      <c r="B67" s="84"/>
      <c r="E67" s="31"/>
      <c r="F67" s="11"/>
      <c r="J67" s="31"/>
      <c r="K67" s="31"/>
      <c r="L67" s="31"/>
      <c r="M67" s="31"/>
      <c r="N67" s="31"/>
      <c r="O67" s="31"/>
      <c r="P67" s="31"/>
      <c r="Q67" s="31"/>
      <c r="R67" s="31"/>
      <c r="S67" s="31"/>
      <c r="T67" s="31"/>
      <c r="U67" s="31"/>
      <c r="V67" s="31"/>
      <c r="W67" s="31"/>
      <c r="X67" s="31"/>
      <c r="Y67" s="31"/>
      <c r="Z67" s="31"/>
    </row>
    <row r="68" ht="15.75" customHeight="1">
      <c r="B68" s="84"/>
      <c r="E68" s="31"/>
      <c r="F68" s="11"/>
      <c r="J68" s="31"/>
      <c r="K68" s="31"/>
      <c r="L68" s="31"/>
      <c r="M68" s="31"/>
      <c r="N68" s="31"/>
      <c r="O68" s="31"/>
      <c r="P68" s="31"/>
      <c r="Q68" s="31"/>
      <c r="R68" s="31"/>
      <c r="S68" s="31"/>
      <c r="T68" s="31"/>
      <c r="U68" s="31"/>
      <c r="V68" s="31"/>
      <c r="W68" s="31"/>
      <c r="X68" s="31"/>
      <c r="Y68" s="31"/>
      <c r="Z68" s="31"/>
    </row>
    <row r="69" ht="15.75" customHeight="1">
      <c r="B69" s="84"/>
      <c r="E69" s="31"/>
      <c r="F69" s="11"/>
      <c r="J69" s="31"/>
      <c r="K69" s="31"/>
      <c r="L69" s="31"/>
      <c r="M69" s="31"/>
      <c r="N69" s="31"/>
      <c r="O69" s="31"/>
      <c r="P69" s="31"/>
      <c r="Q69" s="31"/>
      <c r="R69" s="31"/>
      <c r="S69" s="31"/>
      <c r="T69" s="31"/>
      <c r="U69" s="31"/>
      <c r="V69" s="31"/>
      <c r="W69" s="31"/>
      <c r="X69" s="31"/>
      <c r="Y69" s="31"/>
      <c r="Z69" s="31"/>
    </row>
    <row r="70" ht="15.75" customHeight="1">
      <c r="B70" s="84"/>
      <c r="E70" s="31"/>
      <c r="F70" s="11"/>
      <c r="J70" s="31"/>
      <c r="K70" s="31"/>
      <c r="L70" s="31"/>
      <c r="M70" s="31"/>
      <c r="N70" s="31"/>
      <c r="O70" s="31"/>
      <c r="P70" s="31"/>
      <c r="Q70" s="31"/>
      <c r="R70" s="31"/>
      <c r="S70" s="31"/>
      <c r="T70" s="31"/>
      <c r="U70" s="31"/>
      <c r="V70" s="31"/>
      <c r="W70" s="31"/>
      <c r="X70" s="31"/>
      <c r="Y70" s="31"/>
      <c r="Z70" s="31"/>
    </row>
    <row r="71" ht="15.75" customHeight="1">
      <c r="B71" s="84"/>
      <c r="E71" s="31"/>
      <c r="F71" s="11"/>
      <c r="J71" s="31"/>
      <c r="K71" s="31"/>
      <c r="L71" s="31"/>
      <c r="M71" s="31"/>
      <c r="N71" s="31"/>
      <c r="O71" s="31"/>
      <c r="P71" s="31"/>
      <c r="Q71" s="31"/>
      <c r="R71" s="31"/>
      <c r="S71" s="31"/>
      <c r="T71" s="31"/>
      <c r="U71" s="31"/>
      <c r="V71" s="31"/>
      <c r="W71" s="31"/>
      <c r="X71" s="31"/>
      <c r="Y71" s="31"/>
      <c r="Z71" s="31"/>
    </row>
    <row r="72" ht="15.75" customHeight="1">
      <c r="B72" s="84"/>
      <c r="E72" s="31"/>
      <c r="F72" s="11"/>
      <c r="J72" s="31"/>
      <c r="K72" s="31"/>
      <c r="L72" s="31"/>
      <c r="M72" s="31"/>
      <c r="N72" s="31"/>
      <c r="O72" s="31"/>
      <c r="P72" s="31"/>
      <c r="Q72" s="31"/>
      <c r="R72" s="31"/>
      <c r="S72" s="31"/>
      <c r="T72" s="31"/>
      <c r="U72" s="31"/>
      <c r="V72" s="31"/>
      <c r="W72" s="31"/>
      <c r="X72" s="31"/>
      <c r="Y72" s="31"/>
      <c r="Z72" s="31"/>
    </row>
    <row r="73" ht="15.75" customHeight="1">
      <c r="B73" s="84"/>
      <c r="E73" s="31"/>
      <c r="F73" s="11"/>
      <c r="J73" s="31"/>
      <c r="K73" s="31"/>
      <c r="L73" s="31"/>
      <c r="M73" s="31"/>
      <c r="N73" s="31"/>
      <c r="O73" s="31"/>
      <c r="P73" s="31"/>
      <c r="Q73" s="31"/>
      <c r="R73" s="31"/>
      <c r="S73" s="31"/>
      <c r="T73" s="31"/>
      <c r="U73" s="31"/>
      <c r="V73" s="31"/>
      <c r="W73" s="31"/>
      <c r="X73" s="31"/>
      <c r="Y73" s="31"/>
      <c r="Z73" s="31"/>
    </row>
    <row r="74" ht="15.75" customHeight="1">
      <c r="B74" s="84"/>
      <c r="E74" s="31"/>
      <c r="F74" s="11"/>
      <c r="J74" s="31"/>
      <c r="K74" s="31"/>
      <c r="L74" s="31"/>
      <c r="M74" s="31"/>
      <c r="N74" s="31"/>
      <c r="O74" s="31"/>
      <c r="P74" s="31"/>
      <c r="Q74" s="31"/>
      <c r="R74" s="31"/>
      <c r="S74" s="31"/>
      <c r="T74" s="31"/>
      <c r="U74" s="31"/>
      <c r="V74" s="31"/>
      <c r="W74" s="31"/>
      <c r="X74" s="31"/>
      <c r="Y74" s="31"/>
      <c r="Z74" s="31"/>
    </row>
    <row r="75" ht="15.75" customHeight="1">
      <c r="B75" s="84"/>
      <c r="E75" s="31"/>
      <c r="F75" s="11"/>
      <c r="J75" s="31"/>
      <c r="K75" s="31"/>
      <c r="L75" s="31"/>
      <c r="M75" s="31"/>
      <c r="N75" s="31"/>
      <c r="O75" s="31"/>
      <c r="P75" s="31"/>
      <c r="Q75" s="31"/>
      <c r="R75" s="31"/>
      <c r="S75" s="31"/>
      <c r="T75" s="31"/>
      <c r="U75" s="31"/>
      <c r="V75" s="31"/>
      <c r="W75" s="31"/>
      <c r="X75" s="31"/>
      <c r="Y75" s="31"/>
      <c r="Z75" s="31"/>
    </row>
    <row r="76" ht="15.75" customHeight="1">
      <c r="B76" s="84"/>
      <c r="E76" s="31"/>
      <c r="F76" s="11"/>
      <c r="J76" s="31"/>
      <c r="K76" s="31"/>
      <c r="L76" s="31"/>
      <c r="M76" s="31"/>
      <c r="N76" s="31"/>
      <c r="O76" s="31"/>
      <c r="P76" s="31"/>
      <c r="Q76" s="31"/>
      <c r="R76" s="31"/>
      <c r="S76" s="31"/>
      <c r="T76" s="31"/>
      <c r="U76" s="31"/>
      <c r="V76" s="31"/>
      <c r="W76" s="31"/>
      <c r="X76" s="31"/>
      <c r="Y76" s="31"/>
      <c r="Z76" s="31"/>
    </row>
    <row r="77" ht="15.75" customHeight="1">
      <c r="B77" s="84"/>
      <c r="E77" s="31"/>
      <c r="F77" s="11"/>
      <c r="J77" s="31"/>
      <c r="K77" s="31"/>
      <c r="L77" s="31"/>
      <c r="M77" s="31"/>
      <c r="N77" s="31"/>
      <c r="O77" s="31"/>
      <c r="P77" s="31"/>
      <c r="Q77" s="31"/>
      <c r="R77" s="31"/>
      <c r="S77" s="31"/>
      <c r="T77" s="31"/>
      <c r="U77" s="31"/>
      <c r="V77" s="31"/>
      <c r="W77" s="31"/>
      <c r="X77" s="31"/>
      <c r="Y77" s="31"/>
      <c r="Z77" s="31"/>
    </row>
    <row r="78" ht="15.75" customHeight="1">
      <c r="B78" s="84"/>
      <c r="E78" s="31"/>
      <c r="F78" s="11"/>
      <c r="J78" s="31"/>
      <c r="K78" s="31"/>
      <c r="L78" s="31"/>
      <c r="M78" s="31"/>
      <c r="N78" s="31"/>
      <c r="O78" s="31"/>
      <c r="P78" s="31"/>
      <c r="Q78" s="31"/>
      <c r="R78" s="31"/>
      <c r="S78" s="31"/>
      <c r="T78" s="31"/>
      <c r="U78" s="31"/>
      <c r="V78" s="31"/>
      <c r="W78" s="31"/>
      <c r="X78" s="31"/>
      <c r="Y78" s="31"/>
      <c r="Z78" s="31"/>
    </row>
    <row r="79" ht="15.75" customHeight="1">
      <c r="B79" s="84"/>
      <c r="E79" s="31"/>
      <c r="F79" s="11"/>
      <c r="J79" s="31"/>
      <c r="K79" s="31"/>
      <c r="L79" s="31"/>
      <c r="M79" s="31"/>
      <c r="N79" s="31"/>
      <c r="O79" s="31"/>
      <c r="P79" s="31"/>
      <c r="Q79" s="31"/>
      <c r="R79" s="31"/>
      <c r="S79" s="31"/>
      <c r="T79" s="31"/>
      <c r="U79" s="31"/>
      <c r="V79" s="31"/>
      <c r="W79" s="31"/>
      <c r="X79" s="31"/>
      <c r="Y79" s="31"/>
      <c r="Z79" s="31"/>
    </row>
    <row r="80" ht="15.75" customHeight="1">
      <c r="B80" s="84"/>
      <c r="E80" s="31"/>
      <c r="F80" s="11"/>
      <c r="J80" s="31"/>
      <c r="K80" s="31"/>
      <c r="L80" s="31"/>
      <c r="M80" s="31"/>
      <c r="N80" s="31"/>
      <c r="O80" s="31"/>
      <c r="P80" s="31"/>
      <c r="Q80" s="31"/>
      <c r="R80" s="31"/>
      <c r="S80" s="31"/>
      <c r="T80" s="31"/>
      <c r="U80" s="31"/>
      <c r="V80" s="31"/>
      <c r="W80" s="31"/>
      <c r="X80" s="31"/>
      <c r="Y80" s="31"/>
      <c r="Z80" s="31"/>
    </row>
    <row r="81" ht="15.75" customHeight="1">
      <c r="B81" s="84"/>
      <c r="E81" s="31"/>
      <c r="F81" s="11"/>
      <c r="J81" s="31"/>
      <c r="K81" s="31"/>
      <c r="L81" s="31"/>
      <c r="M81" s="31"/>
      <c r="N81" s="31"/>
      <c r="O81" s="31"/>
      <c r="P81" s="31"/>
      <c r="Q81" s="31"/>
      <c r="R81" s="31"/>
      <c r="S81" s="31"/>
      <c r="T81" s="31"/>
      <c r="U81" s="31"/>
      <c r="V81" s="31"/>
      <c r="W81" s="31"/>
      <c r="X81" s="31"/>
      <c r="Y81" s="31"/>
      <c r="Z81" s="31"/>
    </row>
    <row r="82" ht="15.75" customHeight="1">
      <c r="B82" s="84"/>
      <c r="E82" s="31"/>
      <c r="F82" s="11"/>
      <c r="J82" s="31"/>
      <c r="K82" s="31"/>
      <c r="L82" s="31"/>
      <c r="M82" s="31"/>
      <c r="N82" s="31"/>
      <c r="O82" s="31"/>
      <c r="P82" s="31"/>
      <c r="Q82" s="31"/>
      <c r="R82" s="31"/>
      <c r="S82" s="31"/>
      <c r="T82" s="31"/>
      <c r="U82" s="31"/>
      <c r="V82" s="31"/>
      <c r="W82" s="31"/>
      <c r="X82" s="31"/>
      <c r="Y82" s="31"/>
      <c r="Z82" s="31"/>
    </row>
    <row r="83" ht="15.75" customHeight="1">
      <c r="B83" s="84"/>
      <c r="E83" s="31"/>
      <c r="F83" s="11"/>
      <c r="J83" s="31"/>
      <c r="K83" s="31"/>
      <c r="L83" s="31"/>
      <c r="M83" s="31"/>
      <c r="N83" s="31"/>
      <c r="O83" s="31"/>
      <c r="P83" s="31"/>
      <c r="Q83" s="31"/>
      <c r="R83" s="31"/>
      <c r="S83" s="31"/>
      <c r="T83" s="31"/>
      <c r="U83" s="31"/>
      <c r="V83" s="31"/>
      <c r="W83" s="31"/>
      <c r="X83" s="31"/>
      <c r="Y83" s="31"/>
      <c r="Z83" s="31"/>
    </row>
    <row r="84" ht="15.75" customHeight="1">
      <c r="B84" s="84"/>
      <c r="E84" s="31"/>
      <c r="F84" s="11"/>
      <c r="J84" s="31"/>
      <c r="K84" s="31"/>
      <c r="L84" s="31"/>
      <c r="M84" s="31"/>
      <c r="N84" s="31"/>
      <c r="O84" s="31"/>
      <c r="P84" s="31"/>
      <c r="Q84" s="31"/>
      <c r="R84" s="31"/>
      <c r="S84" s="31"/>
      <c r="T84" s="31"/>
      <c r="U84" s="31"/>
      <c r="V84" s="31"/>
      <c r="W84" s="31"/>
      <c r="X84" s="31"/>
      <c r="Y84" s="31"/>
      <c r="Z84" s="31"/>
    </row>
    <row r="85" ht="15.75" customHeight="1">
      <c r="B85" s="84"/>
      <c r="E85" s="31"/>
      <c r="F85" s="11"/>
      <c r="J85" s="31"/>
      <c r="K85" s="31"/>
      <c r="L85" s="31"/>
      <c r="M85" s="31"/>
      <c r="N85" s="31"/>
      <c r="O85" s="31"/>
      <c r="P85" s="31"/>
      <c r="Q85" s="31"/>
      <c r="R85" s="31"/>
      <c r="S85" s="31"/>
      <c r="T85" s="31"/>
      <c r="U85" s="31"/>
      <c r="V85" s="31"/>
      <c r="W85" s="31"/>
      <c r="X85" s="31"/>
      <c r="Y85" s="31"/>
      <c r="Z85" s="31"/>
    </row>
    <row r="86" ht="15.75" customHeight="1">
      <c r="B86" s="84"/>
      <c r="E86" s="31"/>
      <c r="F86" s="11"/>
      <c r="J86" s="31"/>
      <c r="K86" s="31"/>
      <c r="L86" s="31"/>
      <c r="M86" s="31"/>
      <c r="N86" s="31"/>
      <c r="O86" s="31"/>
      <c r="P86" s="31"/>
      <c r="Q86" s="31"/>
      <c r="R86" s="31"/>
      <c r="S86" s="31"/>
      <c r="T86" s="31"/>
      <c r="U86" s="31"/>
      <c r="V86" s="31"/>
      <c r="W86" s="31"/>
      <c r="X86" s="31"/>
      <c r="Y86" s="31"/>
      <c r="Z86" s="31"/>
    </row>
    <row r="87" ht="15.75" customHeight="1">
      <c r="B87" s="84"/>
      <c r="E87" s="31"/>
      <c r="F87" s="11"/>
      <c r="J87" s="31"/>
      <c r="K87" s="31"/>
      <c r="L87" s="31"/>
      <c r="M87" s="31"/>
      <c r="N87" s="31"/>
      <c r="O87" s="31"/>
      <c r="P87" s="31"/>
      <c r="Q87" s="31"/>
      <c r="R87" s="31"/>
      <c r="S87" s="31"/>
      <c r="T87" s="31"/>
      <c r="U87" s="31"/>
      <c r="V87" s="31"/>
      <c r="W87" s="31"/>
      <c r="X87" s="31"/>
      <c r="Y87" s="31"/>
      <c r="Z87" s="31"/>
    </row>
    <row r="88" ht="15.75" customHeight="1">
      <c r="B88" s="84"/>
      <c r="E88" s="31"/>
      <c r="F88" s="11"/>
      <c r="J88" s="31"/>
      <c r="K88" s="31"/>
      <c r="L88" s="31"/>
      <c r="M88" s="31"/>
      <c r="N88" s="31"/>
      <c r="O88" s="31"/>
      <c r="P88" s="31"/>
      <c r="Q88" s="31"/>
      <c r="R88" s="31"/>
      <c r="S88" s="31"/>
      <c r="T88" s="31"/>
      <c r="U88" s="31"/>
      <c r="V88" s="31"/>
      <c r="W88" s="31"/>
      <c r="X88" s="31"/>
      <c r="Y88" s="31"/>
      <c r="Z88" s="31"/>
    </row>
    <row r="89" ht="15.75" customHeight="1">
      <c r="B89" s="84"/>
      <c r="E89" s="31"/>
      <c r="F89" s="11"/>
      <c r="J89" s="31"/>
      <c r="K89" s="31"/>
      <c r="L89" s="31"/>
      <c r="M89" s="31"/>
      <c r="N89" s="31"/>
      <c r="O89" s="31"/>
      <c r="P89" s="31"/>
      <c r="Q89" s="31"/>
      <c r="R89" s="31"/>
      <c r="S89" s="31"/>
      <c r="T89" s="31"/>
      <c r="U89" s="31"/>
      <c r="V89" s="31"/>
      <c r="W89" s="31"/>
      <c r="X89" s="31"/>
      <c r="Y89" s="31"/>
      <c r="Z89" s="31"/>
    </row>
    <row r="90" ht="15.75" customHeight="1">
      <c r="B90" s="84"/>
      <c r="E90" s="31"/>
      <c r="F90" s="11"/>
      <c r="J90" s="31"/>
      <c r="K90" s="31"/>
      <c r="L90" s="31"/>
      <c r="M90" s="31"/>
      <c r="N90" s="31"/>
      <c r="O90" s="31"/>
      <c r="P90" s="31"/>
      <c r="Q90" s="31"/>
      <c r="R90" s="31"/>
      <c r="S90" s="31"/>
      <c r="T90" s="31"/>
      <c r="U90" s="31"/>
      <c r="V90" s="31"/>
      <c r="W90" s="31"/>
      <c r="X90" s="31"/>
      <c r="Y90" s="31"/>
      <c r="Z90" s="31"/>
    </row>
    <row r="91" ht="15.75" customHeight="1">
      <c r="B91" s="84"/>
      <c r="E91" s="31"/>
      <c r="F91" s="11"/>
      <c r="J91" s="31"/>
      <c r="K91" s="31"/>
      <c r="L91" s="31"/>
      <c r="M91" s="31"/>
      <c r="N91" s="31"/>
      <c r="O91" s="31"/>
      <c r="P91" s="31"/>
      <c r="Q91" s="31"/>
      <c r="R91" s="31"/>
      <c r="S91" s="31"/>
      <c r="T91" s="31"/>
      <c r="U91" s="31"/>
      <c r="V91" s="31"/>
      <c r="W91" s="31"/>
      <c r="X91" s="31"/>
      <c r="Y91" s="31"/>
      <c r="Z91" s="31"/>
    </row>
    <row r="92" ht="15.75" customHeight="1">
      <c r="B92" s="84"/>
      <c r="E92" s="31"/>
      <c r="F92" s="11"/>
      <c r="J92" s="31"/>
      <c r="K92" s="31"/>
      <c r="L92" s="31"/>
      <c r="M92" s="31"/>
      <c r="N92" s="31"/>
      <c r="O92" s="31"/>
      <c r="P92" s="31"/>
      <c r="Q92" s="31"/>
      <c r="R92" s="31"/>
      <c r="S92" s="31"/>
      <c r="T92" s="31"/>
      <c r="U92" s="31"/>
      <c r="V92" s="31"/>
      <c r="W92" s="31"/>
      <c r="X92" s="31"/>
      <c r="Y92" s="31"/>
      <c r="Z92" s="31"/>
    </row>
    <row r="93" ht="15.75" customHeight="1">
      <c r="B93" s="84"/>
      <c r="E93" s="31"/>
      <c r="F93" s="11"/>
      <c r="J93" s="31"/>
      <c r="K93" s="31"/>
      <c r="L93" s="31"/>
      <c r="M93" s="31"/>
      <c r="N93" s="31"/>
      <c r="O93" s="31"/>
      <c r="P93" s="31"/>
      <c r="Q93" s="31"/>
      <c r="R93" s="31"/>
      <c r="S93" s="31"/>
      <c r="T93" s="31"/>
      <c r="U93" s="31"/>
      <c r="V93" s="31"/>
      <c r="W93" s="31"/>
      <c r="X93" s="31"/>
      <c r="Y93" s="31"/>
      <c r="Z93" s="31"/>
    </row>
    <row r="94" ht="15.75" customHeight="1">
      <c r="B94" s="84"/>
      <c r="E94" s="31"/>
      <c r="F94" s="11"/>
      <c r="J94" s="31"/>
      <c r="K94" s="31"/>
      <c r="L94" s="31"/>
      <c r="M94" s="31"/>
      <c r="N94" s="31"/>
      <c r="O94" s="31"/>
      <c r="P94" s="31"/>
      <c r="Q94" s="31"/>
      <c r="R94" s="31"/>
      <c r="S94" s="31"/>
      <c r="T94" s="31"/>
      <c r="U94" s="31"/>
      <c r="V94" s="31"/>
      <c r="W94" s="31"/>
      <c r="X94" s="31"/>
      <c r="Y94" s="31"/>
      <c r="Z94" s="31"/>
    </row>
    <row r="95" ht="15.75" customHeight="1">
      <c r="B95" s="84"/>
      <c r="E95" s="31"/>
      <c r="F95" s="11"/>
      <c r="J95" s="31"/>
      <c r="K95" s="31"/>
      <c r="L95" s="31"/>
      <c r="M95" s="31"/>
      <c r="N95" s="31"/>
      <c r="O95" s="31"/>
      <c r="P95" s="31"/>
      <c r="Q95" s="31"/>
      <c r="R95" s="31"/>
      <c r="S95" s="31"/>
      <c r="T95" s="31"/>
      <c r="U95" s="31"/>
      <c r="V95" s="31"/>
      <c r="W95" s="31"/>
      <c r="X95" s="31"/>
      <c r="Y95" s="31"/>
      <c r="Z95" s="31"/>
    </row>
    <row r="96" ht="15.75" customHeight="1">
      <c r="B96" s="84"/>
      <c r="E96" s="31"/>
      <c r="F96" s="11"/>
      <c r="J96" s="31"/>
      <c r="K96" s="31"/>
      <c r="L96" s="31"/>
      <c r="M96" s="31"/>
      <c r="N96" s="31"/>
      <c r="O96" s="31"/>
      <c r="P96" s="31"/>
      <c r="Q96" s="31"/>
      <c r="R96" s="31"/>
      <c r="S96" s="31"/>
      <c r="T96" s="31"/>
      <c r="U96" s="31"/>
      <c r="V96" s="31"/>
      <c r="W96" s="31"/>
      <c r="X96" s="31"/>
      <c r="Y96" s="31"/>
      <c r="Z96" s="31"/>
    </row>
    <row r="97" ht="15.75" customHeight="1">
      <c r="B97" s="84"/>
      <c r="E97" s="31"/>
      <c r="F97" s="11"/>
      <c r="J97" s="31"/>
      <c r="K97" s="31"/>
      <c r="L97" s="31"/>
      <c r="M97" s="31"/>
      <c r="N97" s="31"/>
      <c r="O97" s="31"/>
      <c r="P97" s="31"/>
      <c r="Q97" s="31"/>
      <c r="R97" s="31"/>
      <c r="S97" s="31"/>
      <c r="T97" s="31"/>
      <c r="U97" s="31"/>
      <c r="V97" s="31"/>
      <c r="W97" s="31"/>
      <c r="X97" s="31"/>
      <c r="Y97" s="31"/>
      <c r="Z97" s="31"/>
    </row>
    <row r="98" ht="15.75" customHeight="1">
      <c r="B98" s="84"/>
      <c r="E98" s="31"/>
      <c r="F98" s="11"/>
      <c r="J98" s="31"/>
      <c r="K98" s="31"/>
      <c r="L98" s="31"/>
      <c r="M98" s="31"/>
      <c r="N98" s="31"/>
      <c r="O98" s="31"/>
      <c r="P98" s="31"/>
      <c r="Q98" s="31"/>
      <c r="R98" s="31"/>
      <c r="S98" s="31"/>
      <c r="T98" s="31"/>
      <c r="U98" s="31"/>
      <c r="V98" s="31"/>
      <c r="W98" s="31"/>
      <c r="X98" s="31"/>
      <c r="Y98" s="31"/>
      <c r="Z98" s="31"/>
    </row>
    <row r="99" ht="15.75" customHeight="1">
      <c r="B99" s="84"/>
      <c r="E99" s="31"/>
      <c r="F99" s="11"/>
      <c r="J99" s="31"/>
      <c r="K99" s="31"/>
      <c r="L99" s="31"/>
      <c r="M99" s="31"/>
      <c r="N99" s="31"/>
      <c r="O99" s="31"/>
      <c r="P99" s="31"/>
      <c r="Q99" s="31"/>
      <c r="R99" s="31"/>
      <c r="S99" s="31"/>
      <c r="T99" s="31"/>
      <c r="U99" s="31"/>
      <c r="V99" s="31"/>
      <c r="W99" s="31"/>
      <c r="X99" s="31"/>
      <c r="Y99" s="31"/>
      <c r="Z99" s="31"/>
    </row>
    <row r="100" ht="15.75" customHeight="1">
      <c r="B100" s="84"/>
      <c r="E100" s="31"/>
      <c r="F100" s="11"/>
      <c r="J100" s="31"/>
      <c r="K100" s="31"/>
      <c r="L100" s="31"/>
      <c r="M100" s="31"/>
      <c r="N100" s="31"/>
      <c r="O100" s="31"/>
      <c r="P100" s="31"/>
      <c r="Q100" s="31"/>
      <c r="R100" s="31"/>
      <c r="S100" s="31"/>
      <c r="T100" s="31"/>
      <c r="U100" s="31"/>
      <c r="V100" s="31"/>
      <c r="W100" s="31"/>
      <c r="X100" s="31"/>
      <c r="Y100" s="31"/>
      <c r="Z100" s="31"/>
    </row>
    <row r="101" ht="15.75" customHeight="1">
      <c r="B101" s="84"/>
      <c r="E101" s="31"/>
      <c r="F101" s="11"/>
      <c r="J101" s="31"/>
      <c r="K101" s="31"/>
      <c r="L101" s="31"/>
      <c r="M101" s="31"/>
      <c r="N101" s="31"/>
      <c r="O101" s="31"/>
      <c r="P101" s="31"/>
      <c r="Q101" s="31"/>
      <c r="R101" s="31"/>
      <c r="S101" s="31"/>
      <c r="T101" s="31"/>
      <c r="U101" s="31"/>
      <c r="V101" s="31"/>
      <c r="W101" s="31"/>
      <c r="X101" s="31"/>
      <c r="Y101" s="31"/>
      <c r="Z101" s="31"/>
    </row>
    <row r="102" ht="15.75" customHeight="1">
      <c r="B102" s="84"/>
      <c r="E102" s="31"/>
      <c r="F102" s="11"/>
      <c r="J102" s="31"/>
      <c r="K102" s="31"/>
      <c r="L102" s="31"/>
      <c r="M102" s="31"/>
      <c r="N102" s="31"/>
      <c r="O102" s="31"/>
      <c r="P102" s="31"/>
      <c r="Q102" s="31"/>
      <c r="R102" s="31"/>
      <c r="S102" s="31"/>
      <c r="T102" s="31"/>
      <c r="U102" s="31"/>
      <c r="V102" s="31"/>
      <c r="W102" s="31"/>
      <c r="X102" s="31"/>
      <c r="Y102" s="31"/>
      <c r="Z102" s="31"/>
    </row>
    <row r="103" ht="15.75" customHeight="1">
      <c r="B103" s="84"/>
      <c r="E103" s="31"/>
      <c r="F103" s="11"/>
      <c r="J103" s="31"/>
      <c r="K103" s="31"/>
      <c r="L103" s="31"/>
      <c r="M103" s="31"/>
      <c r="N103" s="31"/>
      <c r="O103" s="31"/>
      <c r="P103" s="31"/>
      <c r="Q103" s="31"/>
      <c r="R103" s="31"/>
      <c r="S103" s="31"/>
      <c r="T103" s="31"/>
      <c r="U103" s="31"/>
      <c r="V103" s="31"/>
      <c r="W103" s="31"/>
      <c r="X103" s="31"/>
      <c r="Y103" s="31"/>
      <c r="Z103" s="31"/>
    </row>
    <row r="104" ht="15.75" customHeight="1">
      <c r="B104" s="84"/>
      <c r="E104" s="31"/>
      <c r="F104" s="11"/>
      <c r="J104" s="31"/>
      <c r="K104" s="31"/>
      <c r="L104" s="31"/>
      <c r="M104" s="31"/>
      <c r="N104" s="31"/>
      <c r="O104" s="31"/>
      <c r="P104" s="31"/>
      <c r="Q104" s="31"/>
      <c r="R104" s="31"/>
      <c r="S104" s="31"/>
      <c r="T104" s="31"/>
      <c r="U104" s="31"/>
      <c r="V104" s="31"/>
      <c r="W104" s="31"/>
      <c r="X104" s="31"/>
      <c r="Y104" s="31"/>
      <c r="Z104" s="31"/>
    </row>
    <row r="105" ht="15.75" customHeight="1">
      <c r="B105" s="84"/>
      <c r="E105" s="31"/>
      <c r="F105" s="11"/>
      <c r="J105" s="31"/>
      <c r="K105" s="31"/>
      <c r="L105" s="31"/>
      <c r="M105" s="31"/>
      <c r="N105" s="31"/>
      <c r="O105" s="31"/>
      <c r="P105" s="31"/>
      <c r="Q105" s="31"/>
      <c r="R105" s="31"/>
      <c r="S105" s="31"/>
      <c r="T105" s="31"/>
      <c r="U105" s="31"/>
      <c r="V105" s="31"/>
      <c r="W105" s="31"/>
      <c r="X105" s="31"/>
      <c r="Y105" s="31"/>
      <c r="Z105" s="31"/>
    </row>
    <row r="106" ht="15.75" customHeight="1">
      <c r="B106" s="84"/>
      <c r="E106" s="31"/>
      <c r="F106" s="11"/>
      <c r="J106" s="31"/>
      <c r="K106" s="31"/>
      <c r="L106" s="31"/>
      <c r="M106" s="31"/>
      <c r="N106" s="31"/>
      <c r="O106" s="31"/>
      <c r="P106" s="31"/>
      <c r="Q106" s="31"/>
      <c r="R106" s="31"/>
      <c r="S106" s="31"/>
      <c r="T106" s="31"/>
      <c r="U106" s="31"/>
      <c r="V106" s="31"/>
      <c r="W106" s="31"/>
      <c r="X106" s="31"/>
      <c r="Y106" s="31"/>
      <c r="Z106" s="31"/>
    </row>
    <row r="107" ht="15.75" customHeight="1">
      <c r="B107" s="84"/>
      <c r="E107" s="31"/>
      <c r="F107" s="11"/>
      <c r="J107" s="31"/>
      <c r="K107" s="31"/>
      <c r="L107" s="31"/>
      <c r="M107" s="31"/>
      <c r="N107" s="31"/>
      <c r="O107" s="31"/>
      <c r="P107" s="31"/>
      <c r="Q107" s="31"/>
      <c r="R107" s="31"/>
      <c r="S107" s="31"/>
      <c r="T107" s="31"/>
      <c r="U107" s="31"/>
      <c r="V107" s="31"/>
      <c r="W107" s="31"/>
      <c r="X107" s="31"/>
      <c r="Y107" s="31"/>
      <c r="Z107" s="31"/>
    </row>
    <row r="108" ht="15.75" customHeight="1">
      <c r="B108" s="84"/>
      <c r="E108" s="31"/>
      <c r="F108" s="11"/>
      <c r="J108" s="31"/>
      <c r="K108" s="31"/>
      <c r="L108" s="31"/>
      <c r="M108" s="31"/>
      <c r="N108" s="31"/>
      <c r="O108" s="31"/>
      <c r="P108" s="31"/>
      <c r="Q108" s="31"/>
      <c r="R108" s="31"/>
      <c r="S108" s="31"/>
      <c r="T108" s="31"/>
      <c r="U108" s="31"/>
      <c r="V108" s="31"/>
      <c r="W108" s="31"/>
      <c r="X108" s="31"/>
      <c r="Y108" s="31"/>
      <c r="Z108" s="31"/>
    </row>
    <row r="109" ht="15.75" customHeight="1">
      <c r="B109" s="84"/>
      <c r="E109" s="31"/>
      <c r="F109" s="11"/>
      <c r="J109" s="31"/>
      <c r="K109" s="31"/>
      <c r="L109" s="31"/>
      <c r="M109" s="31"/>
      <c r="N109" s="31"/>
      <c r="O109" s="31"/>
      <c r="P109" s="31"/>
      <c r="Q109" s="31"/>
      <c r="R109" s="31"/>
      <c r="S109" s="31"/>
      <c r="T109" s="31"/>
      <c r="U109" s="31"/>
      <c r="V109" s="31"/>
      <c r="W109" s="31"/>
      <c r="X109" s="31"/>
      <c r="Y109" s="31"/>
      <c r="Z109" s="31"/>
    </row>
    <row r="110" ht="15.75" customHeight="1">
      <c r="B110" s="84"/>
      <c r="E110" s="31"/>
      <c r="F110" s="11"/>
      <c r="J110" s="31"/>
      <c r="K110" s="31"/>
      <c r="L110" s="31"/>
      <c r="M110" s="31"/>
      <c r="N110" s="31"/>
      <c r="O110" s="31"/>
      <c r="P110" s="31"/>
      <c r="Q110" s="31"/>
      <c r="R110" s="31"/>
      <c r="S110" s="31"/>
      <c r="T110" s="31"/>
      <c r="U110" s="31"/>
      <c r="V110" s="31"/>
      <c r="W110" s="31"/>
      <c r="X110" s="31"/>
      <c r="Y110" s="31"/>
      <c r="Z110" s="31"/>
    </row>
    <row r="111" ht="15.75" customHeight="1">
      <c r="B111" s="84"/>
      <c r="E111" s="31"/>
      <c r="F111" s="11"/>
      <c r="J111" s="31"/>
      <c r="K111" s="31"/>
      <c r="L111" s="31"/>
      <c r="M111" s="31"/>
      <c r="N111" s="31"/>
      <c r="O111" s="31"/>
      <c r="P111" s="31"/>
      <c r="Q111" s="31"/>
      <c r="R111" s="31"/>
      <c r="S111" s="31"/>
      <c r="T111" s="31"/>
      <c r="U111" s="31"/>
      <c r="V111" s="31"/>
      <c r="W111" s="31"/>
      <c r="X111" s="31"/>
      <c r="Y111" s="31"/>
      <c r="Z111" s="31"/>
    </row>
    <row r="112" ht="15.75" customHeight="1">
      <c r="B112" s="84"/>
      <c r="E112" s="31"/>
      <c r="F112" s="11"/>
      <c r="J112" s="31"/>
      <c r="K112" s="31"/>
      <c r="L112" s="31"/>
      <c r="M112" s="31"/>
      <c r="N112" s="31"/>
      <c r="O112" s="31"/>
      <c r="P112" s="31"/>
      <c r="Q112" s="31"/>
      <c r="R112" s="31"/>
      <c r="S112" s="31"/>
      <c r="T112" s="31"/>
      <c r="U112" s="31"/>
      <c r="V112" s="31"/>
      <c r="W112" s="31"/>
      <c r="X112" s="31"/>
      <c r="Y112" s="31"/>
      <c r="Z112" s="31"/>
    </row>
    <row r="113" ht="15.75" customHeight="1">
      <c r="B113" s="84"/>
      <c r="E113" s="31"/>
      <c r="F113" s="11"/>
      <c r="J113" s="31"/>
      <c r="K113" s="31"/>
      <c r="L113" s="31"/>
      <c r="M113" s="31"/>
      <c r="N113" s="31"/>
      <c r="O113" s="31"/>
      <c r="P113" s="31"/>
      <c r="Q113" s="31"/>
      <c r="R113" s="31"/>
      <c r="S113" s="31"/>
      <c r="T113" s="31"/>
      <c r="U113" s="31"/>
      <c r="V113" s="31"/>
      <c r="W113" s="31"/>
      <c r="X113" s="31"/>
      <c r="Y113" s="31"/>
      <c r="Z113" s="31"/>
    </row>
    <row r="114" ht="15.75" customHeight="1">
      <c r="B114" s="84"/>
      <c r="E114" s="31"/>
      <c r="F114" s="11"/>
      <c r="J114" s="31"/>
      <c r="K114" s="31"/>
      <c r="L114" s="31"/>
      <c r="M114" s="31"/>
      <c r="N114" s="31"/>
      <c r="O114" s="31"/>
      <c r="P114" s="31"/>
      <c r="Q114" s="31"/>
      <c r="R114" s="31"/>
      <c r="S114" s="31"/>
      <c r="T114" s="31"/>
      <c r="U114" s="31"/>
      <c r="V114" s="31"/>
      <c r="W114" s="31"/>
      <c r="X114" s="31"/>
      <c r="Y114" s="31"/>
      <c r="Z114" s="31"/>
    </row>
    <row r="115" ht="15.75" customHeight="1">
      <c r="B115" s="84"/>
      <c r="E115" s="31"/>
      <c r="F115" s="11"/>
      <c r="J115" s="31"/>
      <c r="K115" s="31"/>
      <c r="L115" s="31"/>
      <c r="M115" s="31"/>
      <c r="N115" s="31"/>
      <c r="O115" s="31"/>
      <c r="P115" s="31"/>
      <c r="Q115" s="31"/>
      <c r="R115" s="31"/>
      <c r="S115" s="31"/>
      <c r="T115" s="31"/>
      <c r="U115" s="31"/>
      <c r="V115" s="31"/>
      <c r="W115" s="31"/>
      <c r="X115" s="31"/>
      <c r="Y115" s="31"/>
      <c r="Z115" s="31"/>
    </row>
    <row r="116" ht="15.75" customHeight="1">
      <c r="B116" s="84"/>
      <c r="E116" s="31"/>
      <c r="F116" s="11"/>
      <c r="J116" s="31"/>
      <c r="K116" s="31"/>
      <c r="L116" s="31"/>
      <c r="M116" s="31"/>
      <c r="N116" s="31"/>
      <c r="O116" s="31"/>
      <c r="P116" s="31"/>
      <c r="Q116" s="31"/>
      <c r="R116" s="31"/>
      <c r="S116" s="31"/>
      <c r="T116" s="31"/>
      <c r="U116" s="31"/>
      <c r="V116" s="31"/>
      <c r="W116" s="31"/>
      <c r="X116" s="31"/>
      <c r="Y116" s="31"/>
      <c r="Z116" s="31"/>
    </row>
    <row r="117" ht="15.75" customHeight="1">
      <c r="B117" s="84"/>
      <c r="E117" s="31"/>
      <c r="F117" s="11"/>
      <c r="J117" s="31"/>
      <c r="K117" s="31"/>
      <c r="L117" s="31"/>
      <c r="M117" s="31"/>
      <c r="N117" s="31"/>
      <c r="O117" s="31"/>
      <c r="P117" s="31"/>
      <c r="Q117" s="31"/>
      <c r="R117" s="31"/>
      <c r="S117" s="31"/>
      <c r="T117" s="31"/>
      <c r="U117" s="31"/>
      <c r="V117" s="31"/>
      <c r="W117" s="31"/>
      <c r="X117" s="31"/>
      <c r="Y117" s="31"/>
      <c r="Z117" s="31"/>
    </row>
    <row r="118" ht="15.75" customHeight="1">
      <c r="B118" s="84"/>
      <c r="E118" s="31"/>
      <c r="F118" s="11"/>
      <c r="J118" s="31"/>
      <c r="K118" s="31"/>
      <c r="L118" s="31"/>
      <c r="M118" s="31"/>
      <c r="N118" s="31"/>
      <c r="O118" s="31"/>
      <c r="P118" s="31"/>
      <c r="Q118" s="31"/>
      <c r="R118" s="31"/>
      <c r="S118" s="31"/>
      <c r="T118" s="31"/>
      <c r="U118" s="31"/>
      <c r="V118" s="31"/>
      <c r="W118" s="31"/>
      <c r="X118" s="31"/>
      <c r="Y118" s="31"/>
      <c r="Z118" s="31"/>
    </row>
    <row r="119" ht="15.75" customHeight="1">
      <c r="B119" s="84"/>
      <c r="E119" s="31"/>
      <c r="F119" s="11"/>
      <c r="J119" s="31"/>
      <c r="K119" s="31"/>
      <c r="L119" s="31"/>
      <c r="M119" s="31"/>
      <c r="N119" s="31"/>
      <c r="O119" s="31"/>
      <c r="P119" s="31"/>
      <c r="Q119" s="31"/>
      <c r="R119" s="31"/>
      <c r="S119" s="31"/>
      <c r="T119" s="31"/>
      <c r="U119" s="31"/>
      <c r="V119" s="31"/>
      <c r="W119" s="31"/>
      <c r="X119" s="31"/>
      <c r="Y119" s="31"/>
      <c r="Z119" s="31"/>
    </row>
    <row r="120" ht="15.75" customHeight="1">
      <c r="B120" s="84"/>
      <c r="E120" s="31"/>
      <c r="F120" s="11"/>
      <c r="J120" s="31"/>
      <c r="K120" s="31"/>
      <c r="L120" s="31"/>
      <c r="M120" s="31"/>
      <c r="N120" s="31"/>
      <c r="O120" s="31"/>
      <c r="P120" s="31"/>
      <c r="Q120" s="31"/>
      <c r="R120" s="31"/>
      <c r="S120" s="31"/>
      <c r="T120" s="31"/>
      <c r="U120" s="31"/>
      <c r="V120" s="31"/>
      <c r="W120" s="31"/>
      <c r="X120" s="31"/>
      <c r="Y120" s="31"/>
      <c r="Z120" s="31"/>
    </row>
    <row r="121" ht="15.75" customHeight="1">
      <c r="B121" s="84"/>
      <c r="E121" s="31"/>
      <c r="F121" s="11"/>
      <c r="J121" s="31"/>
      <c r="K121" s="31"/>
      <c r="L121" s="31"/>
      <c r="M121" s="31"/>
      <c r="N121" s="31"/>
      <c r="O121" s="31"/>
      <c r="P121" s="31"/>
      <c r="Q121" s="31"/>
      <c r="R121" s="31"/>
      <c r="S121" s="31"/>
      <c r="T121" s="31"/>
      <c r="U121" s="31"/>
      <c r="V121" s="31"/>
      <c r="W121" s="31"/>
      <c r="X121" s="31"/>
      <c r="Y121" s="31"/>
      <c r="Z121" s="31"/>
    </row>
    <row r="122" ht="15.75" customHeight="1">
      <c r="B122" s="84"/>
      <c r="E122" s="31"/>
      <c r="F122" s="11"/>
      <c r="J122" s="31"/>
      <c r="K122" s="31"/>
      <c r="L122" s="31"/>
      <c r="M122" s="31"/>
      <c r="N122" s="31"/>
      <c r="O122" s="31"/>
      <c r="P122" s="31"/>
      <c r="Q122" s="31"/>
      <c r="R122" s="31"/>
      <c r="S122" s="31"/>
      <c r="T122" s="31"/>
      <c r="U122" s="31"/>
      <c r="V122" s="31"/>
      <c r="W122" s="31"/>
      <c r="X122" s="31"/>
      <c r="Y122" s="31"/>
      <c r="Z122" s="31"/>
    </row>
    <row r="123" ht="15.75" customHeight="1">
      <c r="B123" s="84"/>
      <c r="E123" s="31"/>
      <c r="F123" s="11"/>
      <c r="J123" s="31"/>
      <c r="K123" s="31"/>
      <c r="L123" s="31"/>
      <c r="M123" s="31"/>
      <c r="N123" s="31"/>
      <c r="O123" s="31"/>
      <c r="P123" s="31"/>
      <c r="Q123" s="31"/>
      <c r="R123" s="31"/>
      <c r="S123" s="31"/>
      <c r="T123" s="31"/>
      <c r="U123" s="31"/>
      <c r="V123" s="31"/>
      <c r="W123" s="31"/>
      <c r="X123" s="31"/>
      <c r="Y123" s="31"/>
      <c r="Z123" s="31"/>
    </row>
    <row r="124" ht="15.75" customHeight="1">
      <c r="B124" s="84"/>
      <c r="E124" s="31"/>
      <c r="F124" s="11"/>
      <c r="J124" s="31"/>
      <c r="K124" s="31"/>
      <c r="L124" s="31"/>
      <c r="M124" s="31"/>
      <c r="N124" s="31"/>
      <c r="O124" s="31"/>
      <c r="P124" s="31"/>
      <c r="Q124" s="31"/>
      <c r="R124" s="31"/>
      <c r="S124" s="31"/>
      <c r="T124" s="31"/>
      <c r="U124" s="31"/>
      <c r="V124" s="31"/>
      <c r="W124" s="31"/>
      <c r="X124" s="31"/>
      <c r="Y124" s="31"/>
      <c r="Z124" s="31"/>
    </row>
    <row r="125" ht="15.75" customHeight="1">
      <c r="B125" s="84"/>
      <c r="E125" s="31"/>
      <c r="F125" s="11"/>
      <c r="J125" s="31"/>
      <c r="K125" s="31"/>
      <c r="L125" s="31"/>
      <c r="M125" s="31"/>
      <c r="N125" s="31"/>
      <c r="O125" s="31"/>
      <c r="P125" s="31"/>
      <c r="Q125" s="31"/>
      <c r="R125" s="31"/>
      <c r="S125" s="31"/>
      <c r="T125" s="31"/>
      <c r="U125" s="31"/>
      <c r="V125" s="31"/>
      <c r="W125" s="31"/>
      <c r="X125" s="31"/>
      <c r="Y125" s="31"/>
      <c r="Z125" s="31"/>
    </row>
    <row r="126" ht="15.75" customHeight="1">
      <c r="B126" s="84"/>
      <c r="E126" s="31"/>
      <c r="F126" s="11"/>
      <c r="J126" s="31"/>
      <c r="K126" s="31"/>
      <c r="L126" s="31"/>
      <c r="M126" s="31"/>
      <c r="N126" s="31"/>
      <c r="O126" s="31"/>
      <c r="P126" s="31"/>
      <c r="Q126" s="31"/>
      <c r="R126" s="31"/>
      <c r="S126" s="31"/>
      <c r="T126" s="31"/>
      <c r="U126" s="31"/>
      <c r="V126" s="31"/>
      <c r="W126" s="31"/>
      <c r="X126" s="31"/>
      <c r="Y126" s="31"/>
      <c r="Z126" s="31"/>
    </row>
    <row r="127" ht="15.75" customHeight="1">
      <c r="B127" s="84"/>
      <c r="E127" s="31"/>
      <c r="F127" s="11"/>
      <c r="J127" s="31"/>
      <c r="K127" s="31"/>
      <c r="L127" s="31"/>
      <c r="M127" s="31"/>
      <c r="N127" s="31"/>
      <c r="O127" s="31"/>
      <c r="P127" s="31"/>
      <c r="Q127" s="31"/>
      <c r="R127" s="31"/>
      <c r="S127" s="31"/>
      <c r="T127" s="31"/>
      <c r="U127" s="31"/>
      <c r="V127" s="31"/>
      <c r="W127" s="31"/>
      <c r="X127" s="31"/>
      <c r="Y127" s="31"/>
      <c r="Z127" s="31"/>
    </row>
    <row r="128" ht="15.75" customHeight="1">
      <c r="B128" s="84"/>
      <c r="E128" s="31"/>
      <c r="F128" s="11"/>
      <c r="J128" s="31"/>
      <c r="K128" s="31"/>
      <c r="L128" s="31"/>
      <c r="M128" s="31"/>
      <c r="N128" s="31"/>
      <c r="O128" s="31"/>
      <c r="P128" s="31"/>
      <c r="Q128" s="31"/>
      <c r="R128" s="31"/>
      <c r="S128" s="31"/>
      <c r="T128" s="31"/>
      <c r="U128" s="31"/>
      <c r="V128" s="31"/>
      <c r="W128" s="31"/>
      <c r="X128" s="31"/>
      <c r="Y128" s="31"/>
      <c r="Z128" s="31"/>
    </row>
    <row r="129" ht="15.75" customHeight="1">
      <c r="B129" s="84"/>
      <c r="E129" s="31"/>
      <c r="F129" s="11"/>
      <c r="J129" s="31"/>
      <c r="K129" s="31"/>
      <c r="L129" s="31"/>
      <c r="M129" s="31"/>
      <c r="N129" s="31"/>
      <c r="O129" s="31"/>
      <c r="P129" s="31"/>
      <c r="Q129" s="31"/>
      <c r="R129" s="31"/>
      <c r="S129" s="31"/>
      <c r="T129" s="31"/>
      <c r="U129" s="31"/>
      <c r="V129" s="31"/>
      <c r="W129" s="31"/>
      <c r="X129" s="31"/>
      <c r="Y129" s="31"/>
      <c r="Z129" s="31"/>
    </row>
    <row r="130" ht="15.75" customHeight="1">
      <c r="B130" s="84"/>
      <c r="E130" s="31"/>
      <c r="F130" s="11"/>
      <c r="J130" s="31"/>
      <c r="K130" s="31"/>
      <c r="L130" s="31"/>
      <c r="M130" s="31"/>
      <c r="N130" s="31"/>
      <c r="O130" s="31"/>
      <c r="P130" s="31"/>
      <c r="Q130" s="31"/>
      <c r="R130" s="31"/>
      <c r="S130" s="31"/>
      <c r="T130" s="31"/>
      <c r="U130" s="31"/>
      <c r="V130" s="31"/>
      <c r="W130" s="31"/>
      <c r="X130" s="31"/>
      <c r="Y130" s="31"/>
      <c r="Z130" s="31"/>
    </row>
    <row r="131" ht="15.75" customHeight="1">
      <c r="B131" s="84"/>
      <c r="E131" s="31"/>
      <c r="F131" s="11"/>
      <c r="J131" s="31"/>
      <c r="K131" s="31"/>
      <c r="L131" s="31"/>
      <c r="M131" s="31"/>
      <c r="N131" s="31"/>
      <c r="O131" s="31"/>
      <c r="P131" s="31"/>
      <c r="Q131" s="31"/>
      <c r="R131" s="31"/>
      <c r="S131" s="31"/>
      <c r="T131" s="31"/>
      <c r="U131" s="31"/>
      <c r="V131" s="31"/>
      <c r="W131" s="31"/>
      <c r="X131" s="31"/>
      <c r="Y131" s="31"/>
      <c r="Z131" s="31"/>
    </row>
    <row r="132" ht="15.75" customHeight="1">
      <c r="B132" s="84"/>
      <c r="E132" s="31"/>
      <c r="F132" s="11"/>
      <c r="J132" s="31"/>
      <c r="K132" s="31"/>
      <c r="L132" s="31"/>
      <c r="M132" s="31"/>
      <c r="N132" s="31"/>
      <c r="O132" s="31"/>
      <c r="P132" s="31"/>
      <c r="Q132" s="31"/>
      <c r="R132" s="31"/>
      <c r="S132" s="31"/>
      <c r="T132" s="31"/>
      <c r="U132" s="31"/>
      <c r="V132" s="31"/>
      <c r="W132" s="31"/>
      <c r="X132" s="31"/>
      <c r="Y132" s="31"/>
      <c r="Z132" s="31"/>
    </row>
    <row r="133" ht="15.75" customHeight="1">
      <c r="B133" s="84"/>
      <c r="E133" s="31"/>
      <c r="F133" s="11"/>
      <c r="J133" s="31"/>
      <c r="K133" s="31"/>
      <c r="L133" s="31"/>
      <c r="M133" s="31"/>
      <c r="N133" s="31"/>
      <c r="O133" s="31"/>
      <c r="P133" s="31"/>
      <c r="Q133" s="31"/>
      <c r="R133" s="31"/>
      <c r="S133" s="31"/>
      <c r="T133" s="31"/>
      <c r="U133" s="31"/>
      <c r="V133" s="31"/>
      <c r="W133" s="31"/>
      <c r="X133" s="31"/>
      <c r="Y133" s="31"/>
      <c r="Z133" s="31"/>
    </row>
    <row r="134" ht="15.75" customHeight="1">
      <c r="B134" s="84"/>
      <c r="E134" s="31"/>
      <c r="F134" s="11"/>
      <c r="J134" s="31"/>
      <c r="K134" s="31"/>
      <c r="L134" s="31"/>
      <c r="M134" s="31"/>
      <c r="N134" s="31"/>
      <c r="O134" s="31"/>
      <c r="P134" s="31"/>
      <c r="Q134" s="31"/>
      <c r="R134" s="31"/>
      <c r="S134" s="31"/>
      <c r="T134" s="31"/>
      <c r="U134" s="31"/>
      <c r="V134" s="31"/>
      <c r="W134" s="31"/>
      <c r="X134" s="31"/>
      <c r="Y134" s="31"/>
      <c r="Z134" s="31"/>
    </row>
    <row r="135" ht="15.75" customHeight="1">
      <c r="B135" s="84"/>
      <c r="E135" s="31"/>
      <c r="F135" s="11"/>
      <c r="J135" s="31"/>
      <c r="K135" s="31"/>
      <c r="L135" s="31"/>
      <c r="M135" s="31"/>
      <c r="N135" s="31"/>
      <c r="O135" s="31"/>
      <c r="P135" s="31"/>
      <c r="Q135" s="31"/>
      <c r="R135" s="31"/>
      <c r="S135" s="31"/>
      <c r="T135" s="31"/>
      <c r="U135" s="31"/>
      <c r="V135" s="31"/>
      <c r="W135" s="31"/>
      <c r="X135" s="31"/>
      <c r="Y135" s="31"/>
      <c r="Z135" s="31"/>
    </row>
    <row r="136" ht="15.75" customHeight="1">
      <c r="B136" s="84"/>
      <c r="E136" s="31"/>
      <c r="F136" s="11"/>
      <c r="J136" s="31"/>
      <c r="K136" s="31"/>
      <c r="L136" s="31"/>
      <c r="M136" s="31"/>
      <c r="N136" s="31"/>
      <c r="O136" s="31"/>
      <c r="P136" s="31"/>
      <c r="Q136" s="31"/>
      <c r="R136" s="31"/>
      <c r="S136" s="31"/>
      <c r="T136" s="31"/>
      <c r="U136" s="31"/>
      <c r="V136" s="31"/>
      <c r="W136" s="31"/>
      <c r="X136" s="31"/>
      <c r="Y136" s="31"/>
      <c r="Z136" s="31"/>
    </row>
    <row r="137" ht="15.75" customHeight="1">
      <c r="B137" s="84"/>
      <c r="E137" s="31"/>
      <c r="F137" s="11"/>
      <c r="J137" s="31"/>
      <c r="K137" s="31"/>
      <c r="L137" s="31"/>
      <c r="M137" s="31"/>
      <c r="N137" s="31"/>
      <c r="O137" s="31"/>
      <c r="P137" s="31"/>
      <c r="Q137" s="31"/>
      <c r="R137" s="31"/>
      <c r="S137" s="31"/>
      <c r="T137" s="31"/>
      <c r="U137" s="31"/>
      <c r="V137" s="31"/>
      <c r="W137" s="31"/>
      <c r="X137" s="31"/>
      <c r="Y137" s="31"/>
      <c r="Z137" s="31"/>
    </row>
    <row r="138" ht="15.75" customHeight="1">
      <c r="B138" s="84"/>
      <c r="E138" s="31"/>
      <c r="F138" s="11"/>
      <c r="J138" s="31"/>
      <c r="K138" s="31"/>
      <c r="L138" s="31"/>
      <c r="M138" s="31"/>
      <c r="N138" s="31"/>
      <c r="O138" s="31"/>
      <c r="P138" s="31"/>
      <c r="Q138" s="31"/>
      <c r="R138" s="31"/>
      <c r="S138" s="31"/>
      <c r="T138" s="31"/>
      <c r="U138" s="31"/>
      <c r="V138" s="31"/>
      <c r="W138" s="31"/>
      <c r="X138" s="31"/>
      <c r="Y138" s="31"/>
      <c r="Z138" s="31"/>
    </row>
    <row r="139" ht="15.75" customHeight="1">
      <c r="B139" s="84"/>
      <c r="E139" s="31"/>
      <c r="F139" s="11"/>
      <c r="J139" s="31"/>
      <c r="K139" s="31"/>
      <c r="L139" s="31"/>
      <c r="M139" s="31"/>
      <c r="N139" s="31"/>
      <c r="O139" s="31"/>
      <c r="P139" s="31"/>
      <c r="Q139" s="31"/>
      <c r="R139" s="31"/>
      <c r="S139" s="31"/>
      <c r="T139" s="31"/>
      <c r="U139" s="31"/>
      <c r="V139" s="31"/>
      <c r="W139" s="31"/>
      <c r="X139" s="31"/>
      <c r="Y139" s="31"/>
      <c r="Z139" s="31"/>
    </row>
    <row r="140" ht="15.75" customHeight="1">
      <c r="B140" s="84"/>
      <c r="E140" s="31"/>
      <c r="F140" s="11"/>
      <c r="J140" s="31"/>
      <c r="K140" s="31"/>
      <c r="L140" s="31"/>
      <c r="M140" s="31"/>
      <c r="N140" s="31"/>
      <c r="O140" s="31"/>
      <c r="P140" s="31"/>
      <c r="Q140" s="31"/>
      <c r="R140" s="31"/>
      <c r="S140" s="31"/>
      <c r="T140" s="31"/>
      <c r="U140" s="31"/>
      <c r="V140" s="31"/>
      <c r="W140" s="31"/>
      <c r="X140" s="31"/>
      <c r="Y140" s="31"/>
      <c r="Z140" s="31"/>
    </row>
    <row r="141" ht="15.75" customHeight="1">
      <c r="B141" s="84"/>
      <c r="E141" s="31"/>
      <c r="F141" s="11"/>
      <c r="J141" s="31"/>
      <c r="K141" s="31"/>
      <c r="L141" s="31"/>
      <c r="M141" s="31"/>
      <c r="N141" s="31"/>
      <c r="O141" s="31"/>
      <c r="P141" s="31"/>
      <c r="Q141" s="31"/>
      <c r="R141" s="31"/>
      <c r="S141" s="31"/>
      <c r="T141" s="31"/>
      <c r="U141" s="31"/>
      <c r="V141" s="31"/>
      <c r="W141" s="31"/>
      <c r="X141" s="31"/>
      <c r="Y141" s="31"/>
      <c r="Z141" s="31"/>
    </row>
    <row r="142" ht="15.75" customHeight="1">
      <c r="B142" s="84"/>
      <c r="E142" s="31"/>
      <c r="F142" s="11"/>
      <c r="J142" s="31"/>
      <c r="K142" s="31"/>
      <c r="L142" s="31"/>
      <c r="M142" s="31"/>
      <c r="N142" s="31"/>
      <c r="O142" s="31"/>
      <c r="P142" s="31"/>
      <c r="Q142" s="31"/>
      <c r="R142" s="31"/>
      <c r="S142" s="31"/>
      <c r="T142" s="31"/>
      <c r="U142" s="31"/>
      <c r="V142" s="31"/>
      <c r="W142" s="31"/>
      <c r="X142" s="31"/>
      <c r="Y142" s="31"/>
      <c r="Z142" s="31"/>
    </row>
    <row r="143" ht="15.75" customHeight="1">
      <c r="B143" s="84"/>
      <c r="E143" s="31"/>
      <c r="F143" s="11"/>
      <c r="J143" s="31"/>
      <c r="K143" s="31"/>
      <c r="L143" s="31"/>
      <c r="M143" s="31"/>
      <c r="N143" s="31"/>
      <c r="O143" s="31"/>
      <c r="P143" s="31"/>
      <c r="Q143" s="31"/>
      <c r="R143" s="31"/>
      <c r="S143" s="31"/>
      <c r="T143" s="31"/>
      <c r="U143" s="31"/>
      <c r="V143" s="31"/>
      <c r="W143" s="31"/>
      <c r="X143" s="31"/>
      <c r="Y143" s="31"/>
      <c r="Z143" s="31"/>
    </row>
    <row r="144" ht="15.75" customHeight="1">
      <c r="B144" s="84"/>
      <c r="E144" s="31"/>
      <c r="F144" s="11"/>
      <c r="J144" s="31"/>
      <c r="K144" s="31"/>
      <c r="L144" s="31"/>
      <c r="M144" s="31"/>
      <c r="N144" s="31"/>
      <c r="O144" s="31"/>
      <c r="P144" s="31"/>
      <c r="Q144" s="31"/>
      <c r="R144" s="31"/>
      <c r="S144" s="31"/>
      <c r="T144" s="31"/>
      <c r="U144" s="31"/>
      <c r="V144" s="31"/>
      <c r="W144" s="31"/>
      <c r="X144" s="31"/>
      <c r="Y144" s="31"/>
      <c r="Z144" s="31"/>
    </row>
    <row r="145" ht="15.75" customHeight="1">
      <c r="B145" s="84"/>
      <c r="E145" s="31"/>
      <c r="F145" s="11"/>
      <c r="J145" s="31"/>
      <c r="K145" s="31"/>
      <c r="L145" s="31"/>
      <c r="M145" s="31"/>
      <c r="N145" s="31"/>
      <c r="O145" s="31"/>
      <c r="P145" s="31"/>
      <c r="Q145" s="31"/>
      <c r="R145" s="31"/>
      <c r="S145" s="31"/>
      <c r="T145" s="31"/>
      <c r="U145" s="31"/>
      <c r="V145" s="31"/>
      <c r="W145" s="31"/>
      <c r="X145" s="31"/>
      <c r="Y145" s="31"/>
      <c r="Z145" s="31"/>
    </row>
    <row r="146" ht="15.75" customHeight="1">
      <c r="B146" s="84"/>
      <c r="E146" s="31"/>
      <c r="F146" s="11"/>
      <c r="J146" s="31"/>
      <c r="K146" s="31"/>
      <c r="L146" s="31"/>
      <c r="M146" s="31"/>
      <c r="N146" s="31"/>
      <c r="O146" s="31"/>
      <c r="P146" s="31"/>
      <c r="Q146" s="31"/>
      <c r="R146" s="31"/>
      <c r="S146" s="31"/>
      <c r="T146" s="31"/>
      <c r="U146" s="31"/>
      <c r="V146" s="31"/>
      <c r="W146" s="31"/>
      <c r="X146" s="31"/>
      <c r="Y146" s="31"/>
      <c r="Z146" s="31"/>
    </row>
    <row r="147" ht="15.75" customHeight="1">
      <c r="B147" s="84"/>
      <c r="E147" s="31"/>
      <c r="F147" s="11"/>
      <c r="J147" s="31"/>
      <c r="K147" s="31"/>
      <c r="L147" s="31"/>
      <c r="M147" s="31"/>
      <c r="N147" s="31"/>
      <c r="O147" s="31"/>
      <c r="P147" s="31"/>
      <c r="Q147" s="31"/>
      <c r="R147" s="31"/>
      <c r="S147" s="31"/>
      <c r="T147" s="31"/>
      <c r="U147" s="31"/>
      <c r="V147" s="31"/>
      <c r="W147" s="31"/>
      <c r="X147" s="31"/>
      <c r="Y147" s="31"/>
      <c r="Z147" s="31"/>
    </row>
    <row r="148" ht="15.75" customHeight="1">
      <c r="B148" s="84"/>
      <c r="E148" s="31"/>
      <c r="F148" s="11"/>
      <c r="J148" s="31"/>
      <c r="K148" s="31"/>
      <c r="L148" s="31"/>
      <c r="M148" s="31"/>
      <c r="N148" s="31"/>
      <c r="O148" s="31"/>
      <c r="P148" s="31"/>
      <c r="Q148" s="31"/>
      <c r="R148" s="31"/>
      <c r="S148" s="31"/>
      <c r="T148" s="31"/>
      <c r="U148" s="31"/>
      <c r="V148" s="31"/>
      <c r="W148" s="31"/>
      <c r="X148" s="31"/>
      <c r="Y148" s="31"/>
      <c r="Z148" s="31"/>
    </row>
    <row r="149" ht="15.75" customHeight="1">
      <c r="B149" s="84"/>
      <c r="E149" s="31"/>
      <c r="F149" s="11"/>
      <c r="J149" s="31"/>
      <c r="K149" s="31"/>
      <c r="L149" s="31"/>
      <c r="M149" s="31"/>
      <c r="N149" s="31"/>
      <c r="O149" s="31"/>
      <c r="P149" s="31"/>
      <c r="Q149" s="31"/>
      <c r="R149" s="31"/>
      <c r="S149" s="31"/>
      <c r="T149" s="31"/>
      <c r="U149" s="31"/>
      <c r="V149" s="31"/>
      <c r="W149" s="31"/>
      <c r="X149" s="31"/>
      <c r="Y149" s="31"/>
      <c r="Z149" s="31"/>
    </row>
    <row r="150" ht="15.75" customHeight="1">
      <c r="B150" s="84"/>
      <c r="E150" s="31"/>
      <c r="F150" s="11"/>
      <c r="J150" s="31"/>
      <c r="K150" s="31"/>
      <c r="L150" s="31"/>
      <c r="M150" s="31"/>
      <c r="N150" s="31"/>
      <c r="O150" s="31"/>
      <c r="P150" s="31"/>
      <c r="Q150" s="31"/>
      <c r="R150" s="31"/>
      <c r="S150" s="31"/>
      <c r="T150" s="31"/>
      <c r="U150" s="31"/>
      <c r="V150" s="31"/>
      <c r="W150" s="31"/>
      <c r="X150" s="31"/>
      <c r="Y150" s="31"/>
      <c r="Z150" s="31"/>
    </row>
    <row r="151" ht="15.75" customHeight="1">
      <c r="B151" s="84"/>
      <c r="E151" s="31"/>
      <c r="F151" s="11"/>
      <c r="J151" s="31"/>
      <c r="K151" s="31"/>
      <c r="L151" s="31"/>
      <c r="M151" s="31"/>
      <c r="N151" s="31"/>
      <c r="O151" s="31"/>
      <c r="P151" s="31"/>
      <c r="Q151" s="31"/>
      <c r="R151" s="31"/>
      <c r="S151" s="31"/>
      <c r="T151" s="31"/>
      <c r="U151" s="31"/>
      <c r="V151" s="31"/>
      <c r="W151" s="31"/>
      <c r="X151" s="31"/>
      <c r="Y151" s="31"/>
      <c r="Z151" s="31"/>
    </row>
    <row r="152" ht="15.75" customHeight="1">
      <c r="B152" s="84"/>
      <c r="E152" s="31"/>
      <c r="F152" s="11"/>
      <c r="J152" s="31"/>
      <c r="K152" s="31"/>
      <c r="L152" s="31"/>
      <c r="M152" s="31"/>
      <c r="N152" s="31"/>
      <c r="O152" s="31"/>
      <c r="P152" s="31"/>
      <c r="Q152" s="31"/>
      <c r="R152" s="31"/>
      <c r="S152" s="31"/>
      <c r="T152" s="31"/>
      <c r="U152" s="31"/>
      <c r="V152" s="31"/>
      <c r="W152" s="31"/>
      <c r="X152" s="31"/>
      <c r="Y152" s="31"/>
      <c r="Z152" s="31"/>
    </row>
    <row r="153" ht="15.75" customHeight="1">
      <c r="B153" s="84"/>
      <c r="E153" s="31"/>
      <c r="F153" s="11"/>
      <c r="J153" s="31"/>
      <c r="K153" s="31"/>
      <c r="L153" s="31"/>
      <c r="M153" s="31"/>
      <c r="N153" s="31"/>
      <c r="O153" s="31"/>
      <c r="P153" s="31"/>
      <c r="Q153" s="31"/>
      <c r="R153" s="31"/>
      <c r="S153" s="31"/>
      <c r="T153" s="31"/>
      <c r="U153" s="31"/>
      <c r="V153" s="31"/>
      <c r="W153" s="31"/>
      <c r="X153" s="31"/>
      <c r="Y153" s="31"/>
      <c r="Z153" s="31"/>
    </row>
    <row r="154" ht="15.75" customHeight="1">
      <c r="B154" s="84"/>
      <c r="E154" s="31"/>
      <c r="F154" s="11"/>
      <c r="J154" s="31"/>
      <c r="K154" s="31"/>
      <c r="L154" s="31"/>
      <c r="M154" s="31"/>
      <c r="N154" s="31"/>
      <c r="O154" s="31"/>
      <c r="P154" s="31"/>
      <c r="Q154" s="31"/>
      <c r="R154" s="31"/>
      <c r="S154" s="31"/>
      <c r="T154" s="31"/>
      <c r="U154" s="31"/>
      <c r="V154" s="31"/>
      <c r="W154" s="31"/>
      <c r="X154" s="31"/>
      <c r="Y154" s="31"/>
      <c r="Z154" s="31"/>
    </row>
    <row r="155" ht="15.75" customHeight="1">
      <c r="B155" s="84"/>
      <c r="E155" s="31"/>
      <c r="F155" s="11"/>
      <c r="J155" s="31"/>
      <c r="K155" s="31"/>
      <c r="L155" s="31"/>
      <c r="M155" s="31"/>
      <c r="N155" s="31"/>
      <c r="O155" s="31"/>
      <c r="P155" s="31"/>
      <c r="Q155" s="31"/>
      <c r="R155" s="31"/>
      <c r="S155" s="31"/>
      <c r="T155" s="31"/>
      <c r="U155" s="31"/>
      <c r="V155" s="31"/>
      <c r="W155" s="31"/>
      <c r="X155" s="31"/>
      <c r="Y155" s="31"/>
      <c r="Z155" s="31"/>
    </row>
    <row r="156" ht="15.75" customHeight="1">
      <c r="B156" s="84"/>
      <c r="E156" s="31"/>
      <c r="F156" s="11"/>
      <c r="J156" s="31"/>
      <c r="K156" s="31"/>
      <c r="L156" s="31"/>
      <c r="M156" s="31"/>
      <c r="N156" s="31"/>
      <c r="O156" s="31"/>
      <c r="P156" s="31"/>
      <c r="Q156" s="31"/>
      <c r="R156" s="31"/>
      <c r="S156" s="31"/>
      <c r="T156" s="31"/>
      <c r="U156" s="31"/>
      <c r="V156" s="31"/>
      <c r="W156" s="31"/>
      <c r="X156" s="31"/>
      <c r="Y156" s="31"/>
      <c r="Z156" s="31"/>
    </row>
    <row r="157" ht="15.75" customHeight="1">
      <c r="B157" s="84"/>
      <c r="E157" s="31"/>
      <c r="F157" s="11"/>
      <c r="J157" s="31"/>
      <c r="K157" s="31"/>
      <c r="L157" s="31"/>
      <c r="M157" s="31"/>
      <c r="N157" s="31"/>
      <c r="O157" s="31"/>
      <c r="P157" s="31"/>
      <c r="Q157" s="31"/>
      <c r="R157" s="31"/>
      <c r="S157" s="31"/>
      <c r="T157" s="31"/>
      <c r="U157" s="31"/>
      <c r="V157" s="31"/>
      <c r="W157" s="31"/>
      <c r="X157" s="31"/>
      <c r="Y157" s="31"/>
      <c r="Z157" s="31"/>
    </row>
    <row r="158" ht="15.75" customHeight="1">
      <c r="B158" s="84"/>
      <c r="E158" s="31"/>
      <c r="F158" s="11"/>
      <c r="J158" s="31"/>
      <c r="K158" s="31"/>
      <c r="L158" s="31"/>
      <c r="M158" s="31"/>
      <c r="N158" s="31"/>
      <c r="O158" s="31"/>
      <c r="P158" s="31"/>
      <c r="Q158" s="31"/>
      <c r="R158" s="31"/>
      <c r="S158" s="31"/>
      <c r="T158" s="31"/>
      <c r="U158" s="31"/>
      <c r="V158" s="31"/>
      <c r="W158" s="31"/>
      <c r="X158" s="31"/>
      <c r="Y158" s="31"/>
      <c r="Z158" s="31"/>
    </row>
    <row r="159" ht="15.75" customHeight="1">
      <c r="B159" s="84"/>
      <c r="E159" s="31"/>
      <c r="F159" s="11"/>
      <c r="J159" s="31"/>
      <c r="K159" s="31"/>
      <c r="L159" s="31"/>
      <c r="M159" s="31"/>
      <c r="N159" s="31"/>
      <c r="O159" s="31"/>
      <c r="P159" s="31"/>
      <c r="Q159" s="31"/>
      <c r="R159" s="31"/>
      <c r="S159" s="31"/>
      <c r="T159" s="31"/>
      <c r="U159" s="31"/>
      <c r="V159" s="31"/>
      <c r="W159" s="31"/>
      <c r="X159" s="31"/>
      <c r="Y159" s="31"/>
      <c r="Z159" s="31"/>
    </row>
    <row r="160" ht="15.75" customHeight="1">
      <c r="B160" s="84"/>
      <c r="E160" s="31"/>
      <c r="F160" s="11"/>
      <c r="J160" s="31"/>
      <c r="K160" s="31"/>
      <c r="L160" s="31"/>
      <c r="M160" s="31"/>
      <c r="N160" s="31"/>
      <c r="O160" s="31"/>
      <c r="P160" s="31"/>
      <c r="Q160" s="31"/>
      <c r="R160" s="31"/>
      <c r="S160" s="31"/>
      <c r="T160" s="31"/>
      <c r="U160" s="31"/>
      <c r="V160" s="31"/>
      <c r="W160" s="31"/>
      <c r="X160" s="31"/>
      <c r="Y160" s="31"/>
      <c r="Z160" s="31"/>
    </row>
    <row r="161" ht="15.75" customHeight="1">
      <c r="B161" s="84"/>
      <c r="E161" s="31"/>
      <c r="F161" s="11"/>
      <c r="J161" s="31"/>
      <c r="K161" s="31"/>
      <c r="L161" s="31"/>
      <c r="M161" s="31"/>
      <c r="N161" s="31"/>
      <c r="O161" s="31"/>
      <c r="P161" s="31"/>
      <c r="Q161" s="31"/>
      <c r="R161" s="31"/>
      <c r="S161" s="31"/>
      <c r="T161" s="31"/>
      <c r="U161" s="31"/>
      <c r="V161" s="31"/>
      <c r="W161" s="31"/>
      <c r="X161" s="31"/>
      <c r="Y161" s="31"/>
      <c r="Z161" s="31"/>
    </row>
    <row r="162" ht="15.75" customHeight="1">
      <c r="B162" s="84"/>
      <c r="E162" s="31"/>
      <c r="F162" s="11"/>
      <c r="J162" s="31"/>
      <c r="K162" s="31"/>
      <c r="L162" s="31"/>
      <c r="M162" s="31"/>
      <c r="N162" s="31"/>
      <c r="O162" s="31"/>
      <c r="P162" s="31"/>
      <c r="Q162" s="31"/>
      <c r="R162" s="31"/>
      <c r="S162" s="31"/>
      <c r="T162" s="31"/>
      <c r="U162" s="31"/>
      <c r="V162" s="31"/>
      <c r="W162" s="31"/>
      <c r="X162" s="31"/>
      <c r="Y162" s="31"/>
      <c r="Z162" s="31"/>
    </row>
    <row r="163" ht="15.75" customHeight="1">
      <c r="B163" s="84"/>
      <c r="E163" s="31"/>
      <c r="F163" s="11"/>
      <c r="J163" s="31"/>
      <c r="K163" s="31"/>
      <c r="L163" s="31"/>
      <c r="M163" s="31"/>
      <c r="N163" s="31"/>
      <c r="O163" s="31"/>
      <c r="P163" s="31"/>
      <c r="Q163" s="31"/>
      <c r="R163" s="31"/>
      <c r="S163" s="31"/>
      <c r="T163" s="31"/>
      <c r="U163" s="31"/>
      <c r="V163" s="31"/>
      <c r="W163" s="31"/>
      <c r="X163" s="31"/>
      <c r="Y163" s="31"/>
      <c r="Z163" s="31"/>
    </row>
    <row r="164" ht="15.75" customHeight="1">
      <c r="B164" s="84"/>
      <c r="E164" s="31"/>
      <c r="F164" s="11"/>
      <c r="J164" s="31"/>
      <c r="K164" s="31"/>
      <c r="L164" s="31"/>
      <c r="M164" s="31"/>
      <c r="N164" s="31"/>
      <c r="O164" s="31"/>
      <c r="P164" s="31"/>
      <c r="Q164" s="31"/>
      <c r="R164" s="31"/>
      <c r="S164" s="31"/>
      <c r="T164" s="31"/>
      <c r="U164" s="31"/>
      <c r="V164" s="31"/>
      <c r="W164" s="31"/>
      <c r="X164" s="31"/>
      <c r="Y164" s="31"/>
      <c r="Z164" s="31"/>
    </row>
    <row r="165" ht="15.75" customHeight="1">
      <c r="B165" s="84"/>
      <c r="E165" s="31"/>
      <c r="F165" s="11"/>
      <c r="J165" s="31"/>
      <c r="K165" s="31"/>
      <c r="L165" s="31"/>
      <c r="M165" s="31"/>
      <c r="N165" s="31"/>
      <c r="O165" s="31"/>
      <c r="P165" s="31"/>
      <c r="Q165" s="31"/>
      <c r="R165" s="31"/>
      <c r="S165" s="31"/>
      <c r="T165" s="31"/>
      <c r="U165" s="31"/>
      <c r="V165" s="31"/>
      <c r="W165" s="31"/>
      <c r="X165" s="31"/>
      <c r="Y165" s="31"/>
      <c r="Z165" s="31"/>
    </row>
    <row r="166" ht="15.75" customHeight="1">
      <c r="B166" s="84"/>
      <c r="E166" s="31"/>
      <c r="F166" s="11"/>
      <c r="J166" s="31"/>
      <c r="K166" s="31"/>
      <c r="L166" s="31"/>
      <c r="M166" s="31"/>
      <c r="N166" s="31"/>
      <c r="O166" s="31"/>
      <c r="P166" s="31"/>
      <c r="Q166" s="31"/>
      <c r="R166" s="31"/>
      <c r="S166" s="31"/>
      <c r="T166" s="31"/>
      <c r="U166" s="31"/>
      <c r="V166" s="31"/>
      <c r="W166" s="31"/>
      <c r="X166" s="31"/>
      <c r="Y166" s="31"/>
      <c r="Z166" s="31"/>
    </row>
    <row r="167" ht="15.75" customHeight="1">
      <c r="B167" s="84"/>
      <c r="E167" s="31"/>
      <c r="F167" s="11"/>
      <c r="J167" s="31"/>
      <c r="K167" s="31"/>
      <c r="L167" s="31"/>
      <c r="M167" s="31"/>
      <c r="N167" s="31"/>
      <c r="O167" s="31"/>
      <c r="P167" s="31"/>
      <c r="Q167" s="31"/>
      <c r="R167" s="31"/>
      <c r="S167" s="31"/>
      <c r="T167" s="31"/>
      <c r="U167" s="31"/>
      <c r="V167" s="31"/>
      <c r="W167" s="31"/>
      <c r="X167" s="31"/>
      <c r="Y167" s="31"/>
      <c r="Z167" s="31"/>
    </row>
    <row r="168" ht="15.75" customHeight="1">
      <c r="B168" s="84"/>
      <c r="E168" s="31"/>
      <c r="F168" s="11"/>
      <c r="J168" s="31"/>
      <c r="K168" s="31"/>
      <c r="L168" s="31"/>
      <c r="M168" s="31"/>
      <c r="N168" s="31"/>
      <c r="O168" s="31"/>
      <c r="P168" s="31"/>
      <c r="Q168" s="31"/>
      <c r="R168" s="31"/>
      <c r="S168" s="31"/>
      <c r="T168" s="31"/>
      <c r="U168" s="31"/>
      <c r="V168" s="31"/>
      <c r="W168" s="31"/>
      <c r="X168" s="31"/>
      <c r="Y168" s="31"/>
      <c r="Z168" s="31"/>
    </row>
    <row r="169" ht="15.75" customHeight="1">
      <c r="B169" s="84"/>
      <c r="E169" s="31"/>
      <c r="F169" s="11"/>
      <c r="J169" s="31"/>
      <c r="K169" s="31"/>
      <c r="L169" s="31"/>
      <c r="M169" s="31"/>
      <c r="N169" s="31"/>
      <c r="O169" s="31"/>
      <c r="P169" s="31"/>
      <c r="Q169" s="31"/>
      <c r="R169" s="31"/>
      <c r="S169" s="31"/>
      <c r="T169" s="31"/>
      <c r="U169" s="31"/>
      <c r="V169" s="31"/>
      <c r="W169" s="31"/>
      <c r="X169" s="31"/>
      <c r="Y169" s="31"/>
      <c r="Z169" s="31"/>
    </row>
    <row r="170" ht="15.75" customHeight="1">
      <c r="B170" s="84"/>
      <c r="E170" s="31"/>
      <c r="F170" s="11"/>
      <c r="J170" s="31"/>
      <c r="K170" s="31"/>
      <c r="L170" s="31"/>
      <c r="M170" s="31"/>
      <c r="N170" s="31"/>
      <c r="O170" s="31"/>
      <c r="P170" s="31"/>
      <c r="Q170" s="31"/>
      <c r="R170" s="31"/>
      <c r="S170" s="31"/>
      <c r="T170" s="31"/>
      <c r="U170" s="31"/>
      <c r="V170" s="31"/>
      <c r="W170" s="31"/>
      <c r="X170" s="31"/>
      <c r="Y170" s="31"/>
      <c r="Z170" s="31"/>
    </row>
    <row r="171" ht="15.75" customHeight="1">
      <c r="B171" s="84"/>
      <c r="E171" s="31"/>
      <c r="F171" s="11"/>
      <c r="J171" s="31"/>
      <c r="K171" s="31"/>
      <c r="L171" s="31"/>
      <c r="M171" s="31"/>
      <c r="N171" s="31"/>
      <c r="O171" s="31"/>
      <c r="P171" s="31"/>
      <c r="Q171" s="31"/>
      <c r="R171" s="31"/>
      <c r="S171" s="31"/>
      <c r="T171" s="31"/>
      <c r="U171" s="31"/>
      <c r="V171" s="31"/>
      <c r="W171" s="31"/>
      <c r="X171" s="31"/>
      <c r="Y171" s="31"/>
      <c r="Z171" s="31"/>
    </row>
    <row r="172" ht="15.75" customHeight="1">
      <c r="B172" s="84"/>
      <c r="E172" s="31"/>
      <c r="F172" s="11"/>
      <c r="J172" s="31"/>
      <c r="K172" s="31"/>
      <c r="L172" s="31"/>
      <c r="M172" s="31"/>
      <c r="N172" s="31"/>
      <c r="O172" s="31"/>
      <c r="P172" s="31"/>
      <c r="Q172" s="31"/>
      <c r="R172" s="31"/>
      <c r="S172" s="31"/>
      <c r="T172" s="31"/>
      <c r="U172" s="31"/>
      <c r="V172" s="31"/>
      <c r="W172" s="31"/>
      <c r="X172" s="31"/>
      <c r="Y172" s="31"/>
      <c r="Z172" s="31"/>
    </row>
    <row r="173" ht="15.75" customHeight="1">
      <c r="B173" s="84"/>
      <c r="E173" s="31"/>
      <c r="F173" s="11"/>
      <c r="J173" s="31"/>
      <c r="K173" s="31"/>
      <c r="L173" s="31"/>
      <c r="M173" s="31"/>
      <c r="N173" s="31"/>
      <c r="O173" s="31"/>
      <c r="P173" s="31"/>
      <c r="Q173" s="31"/>
      <c r="R173" s="31"/>
      <c r="S173" s="31"/>
      <c r="T173" s="31"/>
      <c r="U173" s="31"/>
      <c r="V173" s="31"/>
      <c r="W173" s="31"/>
      <c r="X173" s="31"/>
      <c r="Y173" s="31"/>
      <c r="Z173" s="31"/>
    </row>
    <row r="174" ht="15.75" customHeight="1">
      <c r="B174" s="84"/>
      <c r="E174" s="31"/>
      <c r="F174" s="11"/>
      <c r="J174" s="31"/>
      <c r="K174" s="31"/>
      <c r="L174" s="31"/>
      <c r="M174" s="31"/>
      <c r="N174" s="31"/>
      <c r="O174" s="31"/>
      <c r="P174" s="31"/>
      <c r="Q174" s="31"/>
      <c r="R174" s="31"/>
      <c r="S174" s="31"/>
      <c r="T174" s="31"/>
      <c r="U174" s="31"/>
      <c r="V174" s="31"/>
      <c r="W174" s="31"/>
      <c r="X174" s="31"/>
      <c r="Y174" s="31"/>
      <c r="Z174" s="31"/>
    </row>
    <row r="175" ht="15.75" customHeight="1">
      <c r="B175" s="84"/>
      <c r="E175" s="31"/>
      <c r="F175" s="11"/>
      <c r="J175" s="31"/>
      <c r="K175" s="31"/>
      <c r="L175" s="31"/>
      <c r="M175" s="31"/>
      <c r="N175" s="31"/>
      <c r="O175" s="31"/>
      <c r="P175" s="31"/>
      <c r="Q175" s="31"/>
      <c r="R175" s="31"/>
      <c r="S175" s="31"/>
      <c r="T175" s="31"/>
      <c r="U175" s="31"/>
      <c r="V175" s="31"/>
      <c r="W175" s="31"/>
      <c r="X175" s="31"/>
      <c r="Y175" s="31"/>
      <c r="Z175" s="31"/>
    </row>
    <row r="176" ht="15.75" customHeight="1">
      <c r="B176" s="84"/>
      <c r="E176" s="31"/>
      <c r="F176" s="11"/>
      <c r="J176" s="31"/>
      <c r="K176" s="31"/>
      <c r="L176" s="31"/>
      <c r="M176" s="31"/>
      <c r="N176" s="31"/>
      <c r="O176" s="31"/>
      <c r="P176" s="31"/>
      <c r="Q176" s="31"/>
      <c r="R176" s="31"/>
      <c r="S176" s="31"/>
      <c r="T176" s="31"/>
      <c r="U176" s="31"/>
      <c r="V176" s="31"/>
      <c r="W176" s="31"/>
      <c r="X176" s="31"/>
      <c r="Y176" s="31"/>
      <c r="Z176" s="31"/>
    </row>
    <row r="177" ht="15.75" customHeight="1">
      <c r="B177" s="84"/>
      <c r="E177" s="31"/>
      <c r="F177" s="11"/>
      <c r="J177" s="31"/>
      <c r="K177" s="31"/>
      <c r="L177" s="31"/>
      <c r="M177" s="31"/>
      <c r="N177" s="31"/>
      <c r="O177" s="31"/>
      <c r="P177" s="31"/>
      <c r="Q177" s="31"/>
      <c r="R177" s="31"/>
      <c r="S177" s="31"/>
      <c r="T177" s="31"/>
      <c r="U177" s="31"/>
      <c r="V177" s="31"/>
      <c r="W177" s="31"/>
      <c r="X177" s="31"/>
      <c r="Y177" s="31"/>
      <c r="Z177" s="31"/>
    </row>
    <row r="178" ht="15.75" customHeight="1">
      <c r="B178" s="84"/>
      <c r="E178" s="31"/>
      <c r="F178" s="11"/>
      <c r="J178" s="31"/>
      <c r="K178" s="31"/>
      <c r="L178" s="31"/>
      <c r="M178" s="31"/>
      <c r="N178" s="31"/>
      <c r="O178" s="31"/>
      <c r="P178" s="31"/>
      <c r="Q178" s="31"/>
      <c r="R178" s="31"/>
      <c r="S178" s="31"/>
      <c r="T178" s="31"/>
      <c r="U178" s="31"/>
      <c r="V178" s="31"/>
      <c r="W178" s="31"/>
      <c r="X178" s="31"/>
      <c r="Y178" s="31"/>
      <c r="Z178" s="31"/>
    </row>
    <row r="179" ht="15.75" customHeight="1">
      <c r="B179" s="84"/>
      <c r="E179" s="31"/>
      <c r="F179" s="11"/>
      <c r="J179" s="31"/>
      <c r="K179" s="31"/>
      <c r="L179" s="31"/>
      <c r="M179" s="31"/>
      <c r="N179" s="31"/>
      <c r="O179" s="31"/>
      <c r="P179" s="31"/>
      <c r="Q179" s="31"/>
      <c r="R179" s="31"/>
      <c r="S179" s="31"/>
      <c r="T179" s="31"/>
      <c r="U179" s="31"/>
      <c r="V179" s="31"/>
      <c r="W179" s="31"/>
      <c r="X179" s="31"/>
      <c r="Y179" s="31"/>
      <c r="Z179" s="31"/>
    </row>
    <row r="180" ht="15.75" customHeight="1">
      <c r="B180" s="84"/>
      <c r="E180" s="31"/>
      <c r="F180" s="11"/>
      <c r="J180" s="31"/>
      <c r="K180" s="31"/>
      <c r="L180" s="31"/>
      <c r="M180" s="31"/>
      <c r="N180" s="31"/>
      <c r="O180" s="31"/>
      <c r="P180" s="31"/>
      <c r="Q180" s="31"/>
      <c r="R180" s="31"/>
      <c r="S180" s="31"/>
      <c r="T180" s="31"/>
      <c r="U180" s="31"/>
      <c r="V180" s="31"/>
      <c r="W180" s="31"/>
      <c r="X180" s="31"/>
      <c r="Y180" s="31"/>
      <c r="Z180" s="31"/>
    </row>
    <row r="181" ht="15.75" customHeight="1">
      <c r="B181" s="84"/>
      <c r="E181" s="31"/>
      <c r="F181" s="11"/>
      <c r="J181" s="31"/>
      <c r="K181" s="31"/>
      <c r="L181" s="31"/>
      <c r="M181" s="31"/>
      <c r="N181" s="31"/>
      <c r="O181" s="31"/>
      <c r="P181" s="31"/>
      <c r="Q181" s="31"/>
      <c r="R181" s="31"/>
      <c r="S181" s="31"/>
      <c r="T181" s="31"/>
      <c r="U181" s="31"/>
      <c r="V181" s="31"/>
      <c r="W181" s="31"/>
      <c r="X181" s="31"/>
      <c r="Y181" s="31"/>
      <c r="Z181" s="31"/>
    </row>
    <row r="182" ht="15.75" customHeight="1">
      <c r="B182" s="84"/>
      <c r="E182" s="31"/>
      <c r="F182" s="11"/>
      <c r="J182" s="31"/>
      <c r="K182" s="31"/>
      <c r="L182" s="31"/>
      <c r="M182" s="31"/>
      <c r="N182" s="31"/>
      <c r="O182" s="31"/>
      <c r="P182" s="31"/>
      <c r="Q182" s="31"/>
      <c r="R182" s="31"/>
      <c r="S182" s="31"/>
      <c r="T182" s="31"/>
      <c r="U182" s="31"/>
      <c r="V182" s="31"/>
      <c r="W182" s="31"/>
      <c r="X182" s="31"/>
      <c r="Y182" s="31"/>
      <c r="Z182" s="31"/>
    </row>
    <row r="183" ht="15.75" customHeight="1">
      <c r="B183" s="84"/>
      <c r="E183" s="31"/>
      <c r="F183" s="11"/>
      <c r="J183" s="31"/>
      <c r="K183" s="31"/>
      <c r="L183" s="31"/>
      <c r="M183" s="31"/>
      <c r="N183" s="31"/>
      <c r="O183" s="31"/>
      <c r="P183" s="31"/>
      <c r="Q183" s="31"/>
      <c r="R183" s="31"/>
      <c r="S183" s="31"/>
      <c r="T183" s="31"/>
      <c r="U183" s="31"/>
      <c r="V183" s="31"/>
      <c r="W183" s="31"/>
      <c r="X183" s="31"/>
      <c r="Y183" s="31"/>
      <c r="Z183" s="31"/>
    </row>
    <row r="184" ht="15.75" customHeight="1">
      <c r="B184" s="84"/>
      <c r="E184" s="31"/>
      <c r="F184" s="11"/>
      <c r="J184" s="31"/>
      <c r="K184" s="31"/>
      <c r="L184" s="31"/>
      <c r="M184" s="31"/>
      <c r="N184" s="31"/>
      <c r="O184" s="31"/>
      <c r="P184" s="31"/>
      <c r="Q184" s="31"/>
      <c r="R184" s="31"/>
      <c r="S184" s="31"/>
      <c r="T184" s="31"/>
      <c r="U184" s="31"/>
      <c r="V184" s="31"/>
      <c r="W184" s="31"/>
      <c r="X184" s="31"/>
      <c r="Y184" s="31"/>
      <c r="Z184" s="31"/>
    </row>
    <row r="185" ht="15.75" customHeight="1">
      <c r="B185" s="84"/>
      <c r="E185" s="31"/>
      <c r="F185" s="11"/>
      <c r="J185" s="31"/>
      <c r="K185" s="31"/>
      <c r="L185" s="31"/>
      <c r="M185" s="31"/>
      <c r="N185" s="31"/>
      <c r="O185" s="31"/>
      <c r="P185" s="31"/>
      <c r="Q185" s="31"/>
      <c r="R185" s="31"/>
      <c r="S185" s="31"/>
      <c r="T185" s="31"/>
      <c r="U185" s="31"/>
      <c r="V185" s="31"/>
      <c r="W185" s="31"/>
      <c r="X185" s="31"/>
      <c r="Y185" s="31"/>
      <c r="Z185" s="31"/>
    </row>
    <row r="186" ht="15.75" customHeight="1">
      <c r="B186" s="84"/>
      <c r="E186" s="31"/>
      <c r="F186" s="11"/>
      <c r="J186" s="31"/>
      <c r="K186" s="31"/>
      <c r="L186" s="31"/>
      <c r="M186" s="31"/>
      <c r="N186" s="31"/>
      <c r="O186" s="31"/>
      <c r="P186" s="31"/>
      <c r="Q186" s="31"/>
      <c r="R186" s="31"/>
      <c r="S186" s="31"/>
      <c r="T186" s="31"/>
      <c r="U186" s="31"/>
      <c r="V186" s="31"/>
      <c r="W186" s="31"/>
      <c r="X186" s="31"/>
      <c r="Y186" s="31"/>
      <c r="Z186" s="31"/>
    </row>
    <row r="187" ht="15.75" customHeight="1">
      <c r="B187" s="84"/>
      <c r="E187" s="31"/>
      <c r="F187" s="11"/>
      <c r="J187" s="31"/>
      <c r="K187" s="31"/>
      <c r="L187" s="31"/>
      <c r="M187" s="31"/>
      <c r="N187" s="31"/>
      <c r="O187" s="31"/>
      <c r="P187" s="31"/>
      <c r="Q187" s="31"/>
      <c r="R187" s="31"/>
      <c r="S187" s="31"/>
      <c r="T187" s="31"/>
      <c r="U187" s="31"/>
      <c r="V187" s="31"/>
      <c r="W187" s="31"/>
      <c r="X187" s="31"/>
      <c r="Y187" s="31"/>
      <c r="Z187" s="31"/>
    </row>
    <row r="188" ht="15.75" customHeight="1">
      <c r="B188" s="84"/>
      <c r="E188" s="31"/>
      <c r="F188" s="11"/>
      <c r="J188" s="31"/>
      <c r="K188" s="31"/>
      <c r="L188" s="31"/>
      <c r="M188" s="31"/>
      <c r="N188" s="31"/>
      <c r="O188" s="31"/>
      <c r="P188" s="31"/>
      <c r="Q188" s="31"/>
      <c r="R188" s="31"/>
      <c r="S188" s="31"/>
      <c r="T188" s="31"/>
      <c r="U188" s="31"/>
      <c r="V188" s="31"/>
      <c r="W188" s="31"/>
      <c r="X188" s="31"/>
      <c r="Y188" s="31"/>
      <c r="Z188" s="31"/>
    </row>
    <row r="189" ht="15.75" customHeight="1">
      <c r="B189" s="84"/>
      <c r="E189" s="31"/>
      <c r="F189" s="11"/>
      <c r="J189" s="31"/>
      <c r="K189" s="31"/>
      <c r="L189" s="31"/>
      <c r="M189" s="31"/>
      <c r="N189" s="31"/>
      <c r="O189" s="31"/>
      <c r="P189" s="31"/>
      <c r="Q189" s="31"/>
      <c r="R189" s="31"/>
      <c r="S189" s="31"/>
      <c r="T189" s="31"/>
      <c r="U189" s="31"/>
      <c r="V189" s="31"/>
      <c r="W189" s="31"/>
      <c r="X189" s="31"/>
      <c r="Y189" s="31"/>
      <c r="Z189" s="31"/>
    </row>
    <row r="190" ht="15.75" customHeight="1">
      <c r="B190" s="84"/>
      <c r="E190" s="31"/>
      <c r="F190" s="11"/>
      <c r="J190" s="31"/>
      <c r="K190" s="31"/>
      <c r="L190" s="31"/>
      <c r="M190" s="31"/>
      <c r="N190" s="31"/>
      <c r="O190" s="31"/>
      <c r="P190" s="31"/>
      <c r="Q190" s="31"/>
      <c r="R190" s="31"/>
      <c r="S190" s="31"/>
      <c r="T190" s="31"/>
      <c r="U190" s="31"/>
      <c r="V190" s="31"/>
      <c r="W190" s="31"/>
      <c r="X190" s="31"/>
      <c r="Y190" s="31"/>
      <c r="Z190" s="31"/>
    </row>
    <row r="191" ht="15.75" customHeight="1">
      <c r="B191" s="84"/>
      <c r="E191" s="31"/>
      <c r="F191" s="11"/>
      <c r="J191" s="31"/>
      <c r="K191" s="31"/>
      <c r="L191" s="31"/>
      <c r="M191" s="31"/>
      <c r="N191" s="31"/>
      <c r="O191" s="31"/>
      <c r="P191" s="31"/>
      <c r="Q191" s="31"/>
      <c r="R191" s="31"/>
      <c r="S191" s="31"/>
      <c r="T191" s="31"/>
      <c r="U191" s="31"/>
      <c r="V191" s="31"/>
      <c r="W191" s="31"/>
      <c r="X191" s="31"/>
      <c r="Y191" s="31"/>
      <c r="Z191" s="31"/>
    </row>
    <row r="192" ht="15.75" customHeight="1">
      <c r="B192" s="84"/>
      <c r="E192" s="31"/>
      <c r="F192" s="11"/>
      <c r="J192" s="31"/>
      <c r="K192" s="31"/>
      <c r="L192" s="31"/>
      <c r="M192" s="31"/>
      <c r="N192" s="31"/>
      <c r="O192" s="31"/>
      <c r="P192" s="31"/>
      <c r="Q192" s="31"/>
      <c r="R192" s="31"/>
      <c r="S192" s="31"/>
      <c r="T192" s="31"/>
      <c r="U192" s="31"/>
      <c r="V192" s="31"/>
      <c r="W192" s="31"/>
      <c r="X192" s="31"/>
      <c r="Y192" s="31"/>
      <c r="Z192" s="31"/>
    </row>
    <row r="193" ht="15.75" customHeight="1">
      <c r="B193" s="84"/>
      <c r="E193" s="31"/>
      <c r="F193" s="11"/>
      <c r="J193" s="31"/>
      <c r="K193" s="31"/>
      <c r="L193" s="31"/>
      <c r="M193" s="31"/>
      <c r="N193" s="31"/>
      <c r="O193" s="31"/>
      <c r="P193" s="31"/>
      <c r="Q193" s="31"/>
      <c r="R193" s="31"/>
      <c r="S193" s="31"/>
      <c r="T193" s="31"/>
      <c r="U193" s="31"/>
      <c r="V193" s="31"/>
      <c r="W193" s="31"/>
      <c r="X193" s="31"/>
      <c r="Y193" s="31"/>
      <c r="Z193" s="31"/>
    </row>
    <row r="194" ht="15.75" customHeight="1">
      <c r="B194" s="84"/>
      <c r="E194" s="31"/>
      <c r="F194" s="11"/>
      <c r="J194" s="31"/>
      <c r="K194" s="31"/>
      <c r="L194" s="31"/>
      <c r="M194" s="31"/>
      <c r="N194" s="31"/>
      <c r="O194" s="31"/>
      <c r="P194" s="31"/>
      <c r="Q194" s="31"/>
      <c r="R194" s="31"/>
      <c r="S194" s="31"/>
      <c r="T194" s="31"/>
      <c r="U194" s="31"/>
      <c r="V194" s="31"/>
      <c r="W194" s="31"/>
      <c r="X194" s="31"/>
      <c r="Y194" s="31"/>
      <c r="Z194" s="31"/>
    </row>
    <row r="195" ht="15.75" customHeight="1">
      <c r="B195" s="84"/>
      <c r="E195" s="31"/>
      <c r="F195" s="11"/>
      <c r="J195" s="31"/>
      <c r="K195" s="31"/>
      <c r="L195" s="31"/>
      <c r="M195" s="31"/>
      <c r="N195" s="31"/>
      <c r="O195" s="31"/>
      <c r="P195" s="31"/>
      <c r="Q195" s="31"/>
      <c r="R195" s="31"/>
      <c r="S195" s="31"/>
      <c r="T195" s="31"/>
      <c r="U195" s="31"/>
      <c r="V195" s="31"/>
      <c r="W195" s="31"/>
      <c r="X195" s="31"/>
      <c r="Y195" s="31"/>
      <c r="Z195" s="31"/>
    </row>
    <row r="196" ht="15.75" customHeight="1">
      <c r="B196" s="84"/>
      <c r="E196" s="31"/>
      <c r="F196" s="11"/>
      <c r="J196" s="31"/>
      <c r="K196" s="31"/>
      <c r="L196" s="31"/>
      <c r="M196" s="31"/>
      <c r="N196" s="31"/>
      <c r="O196" s="31"/>
      <c r="P196" s="31"/>
      <c r="Q196" s="31"/>
      <c r="R196" s="31"/>
      <c r="S196" s="31"/>
      <c r="T196" s="31"/>
      <c r="U196" s="31"/>
      <c r="V196" s="31"/>
      <c r="W196" s="31"/>
      <c r="X196" s="31"/>
      <c r="Y196" s="31"/>
      <c r="Z196" s="31"/>
    </row>
    <row r="197" ht="15.75" customHeight="1">
      <c r="B197" s="84"/>
      <c r="E197" s="31"/>
      <c r="F197" s="11"/>
      <c r="J197" s="31"/>
      <c r="K197" s="31"/>
      <c r="L197" s="31"/>
      <c r="M197" s="31"/>
      <c r="N197" s="31"/>
      <c r="O197" s="31"/>
      <c r="P197" s="31"/>
      <c r="Q197" s="31"/>
      <c r="R197" s="31"/>
      <c r="S197" s="31"/>
      <c r="T197" s="31"/>
      <c r="U197" s="31"/>
      <c r="V197" s="31"/>
      <c r="W197" s="31"/>
      <c r="X197" s="31"/>
      <c r="Y197" s="31"/>
      <c r="Z197" s="31"/>
    </row>
    <row r="198" ht="15.75" customHeight="1">
      <c r="B198" s="84"/>
      <c r="E198" s="31"/>
      <c r="F198" s="11"/>
      <c r="J198" s="31"/>
      <c r="K198" s="31"/>
      <c r="L198" s="31"/>
      <c r="M198" s="31"/>
      <c r="N198" s="31"/>
      <c r="O198" s="31"/>
      <c r="P198" s="31"/>
      <c r="Q198" s="31"/>
      <c r="R198" s="31"/>
      <c r="S198" s="31"/>
      <c r="T198" s="31"/>
      <c r="U198" s="31"/>
      <c r="V198" s="31"/>
      <c r="W198" s="31"/>
      <c r="X198" s="31"/>
      <c r="Y198" s="31"/>
      <c r="Z198" s="31"/>
    </row>
    <row r="199" ht="15.75" customHeight="1">
      <c r="B199" s="84"/>
      <c r="E199" s="31"/>
      <c r="F199" s="11"/>
      <c r="J199" s="31"/>
      <c r="K199" s="31"/>
      <c r="L199" s="31"/>
      <c r="M199" s="31"/>
      <c r="N199" s="31"/>
      <c r="O199" s="31"/>
      <c r="P199" s="31"/>
      <c r="Q199" s="31"/>
      <c r="R199" s="31"/>
      <c r="S199" s="31"/>
      <c r="T199" s="31"/>
      <c r="U199" s="31"/>
      <c r="V199" s="31"/>
      <c r="W199" s="31"/>
      <c r="X199" s="31"/>
      <c r="Y199" s="31"/>
      <c r="Z199" s="31"/>
    </row>
    <row r="200" ht="15.75" customHeight="1">
      <c r="B200" s="84"/>
      <c r="E200" s="31"/>
      <c r="F200" s="11"/>
      <c r="J200" s="31"/>
      <c r="K200" s="31"/>
      <c r="L200" s="31"/>
      <c r="M200" s="31"/>
      <c r="N200" s="31"/>
      <c r="O200" s="31"/>
      <c r="P200" s="31"/>
      <c r="Q200" s="31"/>
      <c r="R200" s="31"/>
      <c r="S200" s="31"/>
      <c r="T200" s="31"/>
      <c r="U200" s="31"/>
      <c r="V200" s="31"/>
      <c r="W200" s="31"/>
      <c r="X200" s="31"/>
      <c r="Y200" s="31"/>
      <c r="Z200" s="31"/>
    </row>
    <row r="201" ht="15.75" customHeight="1">
      <c r="B201" s="84"/>
      <c r="E201" s="31"/>
      <c r="F201" s="11"/>
      <c r="J201" s="31"/>
      <c r="K201" s="31"/>
      <c r="L201" s="31"/>
      <c r="M201" s="31"/>
      <c r="N201" s="31"/>
      <c r="O201" s="31"/>
      <c r="P201" s="31"/>
      <c r="Q201" s="31"/>
      <c r="R201" s="31"/>
      <c r="S201" s="31"/>
      <c r="T201" s="31"/>
      <c r="U201" s="31"/>
      <c r="V201" s="31"/>
      <c r="W201" s="31"/>
      <c r="X201" s="31"/>
      <c r="Y201" s="31"/>
      <c r="Z201" s="31"/>
    </row>
    <row r="202" ht="15.75" customHeight="1">
      <c r="B202" s="84"/>
      <c r="E202" s="31"/>
      <c r="F202" s="11"/>
      <c r="J202" s="31"/>
      <c r="K202" s="31"/>
      <c r="L202" s="31"/>
      <c r="M202" s="31"/>
      <c r="N202" s="31"/>
      <c r="O202" s="31"/>
      <c r="P202" s="31"/>
      <c r="Q202" s="31"/>
      <c r="R202" s="31"/>
      <c r="S202" s="31"/>
      <c r="T202" s="31"/>
      <c r="U202" s="31"/>
      <c r="V202" s="31"/>
      <c r="W202" s="31"/>
      <c r="X202" s="31"/>
      <c r="Y202" s="31"/>
      <c r="Z202" s="31"/>
    </row>
    <row r="203" ht="15.75" customHeight="1">
      <c r="B203" s="84"/>
      <c r="E203" s="31"/>
      <c r="F203" s="11"/>
      <c r="J203" s="31"/>
      <c r="K203" s="31"/>
      <c r="L203" s="31"/>
      <c r="M203" s="31"/>
      <c r="N203" s="31"/>
      <c r="O203" s="31"/>
      <c r="P203" s="31"/>
      <c r="Q203" s="31"/>
      <c r="R203" s="31"/>
      <c r="S203" s="31"/>
      <c r="T203" s="31"/>
      <c r="U203" s="31"/>
      <c r="V203" s="31"/>
      <c r="W203" s="31"/>
      <c r="X203" s="31"/>
      <c r="Y203" s="31"/>
      <c r="Z203" s="31"/>
    </row>
    <row r="204" ht="15.75" customHeight="1">
      <c r="B204" s="84"/>
      <c r="E204" s="31"/>
      <c r="F204" s="11"/>
      <c r="J204" s="31"/>
      <c r="K204" s="31"/>
      <c r="L204" s="31"/>
      <c r="M204" s="31"/>
      <c r="N204" s="31"/>
      <c r="O204" s="31"/>
      <c r="P204" s="31"/>
      <c r="Q204" s="31"/>
      <c r="R204" s="31"/>
      <c r="S204" s="31"/>
      <c r="T204" s="31"/>
      <c r="U204" s="31"/>
      <c r="V204" s="31"/>
      <c r="W204" s="31"/>
      <c r="X204" s="31"/>
      <c r="Y204" s="31"/>
      <c r="Z204" s="31"/>
    </row>
    <row r="205" ht="15.75" customHeight="1">
      <c r="B205" s="84"/>
      <c r="E205" s="31"/>
      <c r="F205" s="11"/>
      <c r="J205" s="31"/>
      <c r="K205" s="31"/>
      <c r="L205" s="31"/>
      <c r="M205" s="31"/>
      <c r="N205" s="31"/>
      <c r="O205" s="31"/>
      <c r="P205" s="31"/>
      <c r="Q205" s="31"/>
      <c r="R205" s="31"/>
      <c r="S205" s="31"/>
      <c r="T205" s="31"/>
      <c r="U205" s="31"/>
      <c r="V205" s="31"/>
      <c r="W205" s="31"/>
      <c r="X205" s="31"/>
      <c r="Y205" s="31"/>
      <c r="Z205" s="31"/>
    </row>
    <row r="206" ht="15.75" customHeight="1">
      <c r="B206" s="84"/>
      <c r="E206" s="31"/>
      <c r="F206" s="11"/>
      <c r="J206" s="31"/>
      <c r="K206" s="31"/>
      <c r="L206" s="31"/>
      <c r="M206" s="31"/>
      <c r="N206" s="31"/>
      <c r="O206" s="31"/>
      <c r="P206" s="31"/>
      <c r="Q206" s="31"/>
      <c r="R206" s="31"/>
      <c r="S206" s="31"/>
      <c r="T206" s="31"/>
      <c r="U206" s="31"/>
      <c r="V206" s="31"/>
      <c r="W206" s="31"/>
      <c r="X206" s="31"/>
      <c r="Y206" s="31"/>
      <c r="Z206" s="31"/>
    </row>
    <row r="207" ht="15.75" customHeight="1">
      <c r="B207" s="84"/>
      <c r="E207" s="31"/>
      <c r="F207" s="11"/>
      <c r="J207" s="31"/>
      <c r="K207" s="31"/>
      <c r="L207" s="31"/>
      <c r="M207" s="31"/>
      <c r="N207" s="31"/>
      <c r="O207" s="31"/>
      <c r="P207" s="31"/>
      <c r="Q207" s="31"/>
      <c r="R207" s="31"/>
      <c r="S207" s="31"/>
      <c r="T207" s="31"/>
      <c r="U207" s="31"/>
      <c r="V207" s="31"/>
      <c r="W207" s="31"/>
      <c r="X207" s="31"/>
      <c r="Y207" s="31"/>
      <c r="Z207" s="31"/>
    </row>
    <row r="208" ht="15.75" customHeight="1">
      <c r="B208" s="84"/>
      <c r="E208" s="31"/>
      <c r="F208" s="11"/>
      <c r="J208" s="31"/>
      <c r="K208" s="31"/>
      <c r="L208" s="31"/>
      <c r="M208" s="31"/>
      <c r="N208" s="31"/>
      <c r="O208" s="31"/>
      <c r="P208" s="31"/>
      <c r="Q208" s="31"/>
      <c r="R208" s="31"/>
      <c r="S208" s="31"/>
      <c r="T208" s="31"/>
      <c r="U208" s="31"/>
      <c r="V208" s="31"/>
      <c r="W208" s="31"/>
      <c r="X208" s="31"/>
      <c r="Y208" s="31"/>
      <c r="Z208" s="31"/>
    </row>
    <row r="209" ht="15.75" customHeight="1">
      <c r="B209" s="84"/>
      <c r="E209" s="31"/>
      <c r="F209" s="11"/>
      <c r="J209" s="31"/>
      <c r="K209" s="31"/>
      <c r="L209" s="31"/>
      <c r="M209" s="31"/>
      <c r="N209" s="31"/>
      <c r="O209" s="31"/>
      <c r="P209" s="31"/>
      <c r="Q209" s="31"/>
      <c r="R209" s="31"/>
      <c r="S209" s="31"/>
      <c r="T209" s="31"/>
      <c r="U209" s="31"/>
      <c r="V209" s="31"/>
      <c r="W209" s="31"/>
      <c r="X209" s="31"/>
      <c r="Y209" s="31"/>
      <c r="Z209" s="31"/>
    </row>
    <row r="210" ht="15.75" customHeight="1">
      <c r="B210" s="84"/>
      <c r="E210" s="31"/>
      <c r="F210" s="11"/>
      <c r="J210" s="31"/>
      <c r="K210" s="31"/>
      <c r="L210" s="31"/>
      <c r="M210" s="31"/>
      <c r="N210" s="31"/>
      <c r="O210" s="31"/>
      <c r="P210" s="31"/>
      <c r="Q210" s="31"/>
      <c r="R210" s="31"/>
      <c r="S210" s="31"/>
      <c r="T210" s="31"/>
      <c r="U210" s="31"/>
      <c r="V210" s="31"/>
      <c r="W210" s="31"/>
      <c r="X210" s="31"/>
      <c r="Y210" s="31"/>
      <c r="Z210" s="31"/>
    </row>
    <row r="211" ht="15.75" customHeight="1">
      <c r="B211" s="84"/>
      <c r="E211" s="31"/>
      <c r="F211" s="11"/>
      <c r="J211" s="31"/>
      <c r="K211" s="31"/>
      <c r="L211" s="31"/>
      <c r="M211" s="31"/>
      <c r="N211" s="31"/>
      <c r="O211" s="31"/>
      <c r="P211" s="31"/>
      <c r="Q211" s="31"/>
      <c r="R211" s="31"/>
      <c r="S211" s="31"/>
      <c r="T211" s="31"/>
      <c r="U211" s="31"/>
      <c r="V211" s="31"/>
      <c r="W211" s="31"/>
      <c r="X211" s="31"/>
      <c r="Y211" s="31"/>
      <c r="Z211" s="31"/>
    </row>
    <row r="212" ht="15.75" customHeight="1">
      <c r="B212" s="84"/>
      <c r="E212" s="31"/>
      <c r="F212" s="11"/>
      <c r="J212" s="31"/>
      <c r="K212" s="31"/>
      <c r="L212" s="31"/>
      <c r="M212" s="31"/>
      <c r="N212" s="31"/>
      <c r="O212" s="31"/>
      <c r="P212" s="31"/>
      <c r="Q212" s="31"/>
      <c r="R212" s="31"/>
      <c r="S212" s="31"/>
      <c r="T212" s="31"/>
      <c r="U212" s="31"/>
      <c r="V212" s="31"/>
      <c r="W212" s="31"/>
      <c r="X212" s="31"/>
      <c r="Y212" s="31"/>
      <c r="Z212" s="31"/>
    </row>
    <row r="213" ht="15.75" customHeight="1">
      <c r="B213" s="84"/>
      <c r="E213" s="31"/>
      <c r="F213" s="11"/>
      <c r="J213" s="31"/>
      <c r="K213" s="31"/>
      <c r="L213" s="31"/>
      <c r="M213" s="31"/>
      <c r="N213" s="31"/>
      <c r="O213" s="31"/>
      <c r="P213" s="31"/>
      <c r="Q213" s="31"/>
      <c r="R213" s="31"/>
      <c r="S213" s="31"/>
      <c r="T213" s="31"/>
      <c r="U213" s="31"/>
      <c r="V213" s="31"/>
      <c r="W213" s="31"/>
      <c r="X213" s="31"/>
      <c r="Y213" s="31"/>
      <c r="Z213" s="31"/>
    </row>
    <row r="214" ht="15.75" customHeight="1">
      <c r="B214" s="84"/>
      <c r="E214" s="31"/>
      <c r="F214" s="11"/>
      <c r="J214" s="31"/>
      <c r="K214" s="31"/>
      <c r="L214" s="31"/>
      <c r="M214" s="31"/>
      <c r="N214" s="31"/>
      <c r="O214" s="31"/>
      <c r="P214" s="31"/>
      <c r="Q214" s="31"/>
      <c r="R214" s="31"/>
      <c r="S214" s="31"/>
      <c r="T214" s="31"/>
      <c r="U214" s="31"/>
      <c r="V214" s="31"/>
      <c r="W214" s="31"/>
      <c r="X214" s="31"/>
      <c r="Y214" s="31"/>
      <c r="Z214" s="31"/>
    </row>
    <row r="215" ht="15.75" customHeight="1">
      <c r="B215" s="84"/>
      <c r="E215" s="31"/>
      <c r="F215" s="11"/>
      <c r="J215" s="31"/>
      <c r="K215" s="31"/>
      <c r="L215" s="31"/>
      <c r="M215" s="31"/>
      <c r="N215" s="31"/>
      <c r="O215" s="31"/>
      <c r="P215" s="31"/>
      <c r="Q215" s="31"/>
      <c r="R215" s="31"/>
      <c r="S215" s="31"/>
      <c r="T215" s="31"/>
      <c r="U215" s="31"/>
      <c r="V215" s="31"/>
      <c r="W215" s="31"/>
      <c r="X215" s="31"/>
      <c r="Y215" s="31"/>
      <c r="Z215" s="31"/>
    </row>
    <row r="216" ht="15.75" customHeight="1">
      <c r="B216" s="84"/>
      <c r="E216" s="31"/>
      <c r="F216" s="11"/>
      <c r="J216" s="31"/>
      <c r="K216" s="31"/>
      <c r="L216" s="31"/>
      <c r="M216" s="31"/>
      <c r="N216" s="31"/>
      <c r="O216" s="31"/>
      <c r="P216" s="31"/>
      <c r="Q216" s="31"/>
      <c r="R216" s="31"/>
      <c r="S216" s="31"/>
      <c r="T216" s="31"/>
      <c r="U216" s="31"/>
      <c r="V216" s="31"/>
      <c r="W216" s="31"/>
      <c r="X216" s="31"/>
      <c r="Y216" s="31"/>
      <c r="Z216" s="31"/>
    </row>
    <row r="217" ht="15.75" customHeight="1">
      <c r="B217" s="84"/>
      <c r="E217" s="31"/>
      <c r="F217" s="11"/>
      <c r="J217" s="31"/>
      <c r="K217" s="31"/>
      <c r="L217" s="31"/>
      <c r="M217" s="31"/>
      <c r="N217" s="31"/>
      <c r="O217" s="31"/>
      <c r="P217" s="31"/>
      <c r="Q217" s="31"/>
      <c r="R217" s="31"/>
      <c r="S217" s="31"/>
      <c r="T217" s="31"/>
      <c r="U217" s="31"/>
      <c r="V217" s="31"/>
      <c r="W217" s="31"/>
      <c r="X217" s="31"/>
      <c r="Y217" s="31"/>
      <c r="Z217" s="31"/>
    </row>
    <row r="218" ht="15.75" customHeight="1">
      <c r="B218" s="84"/>
      <c r="E218" s="31"/>
      <c r="F218" s="11"/>
      <c r="J218" s="31"/>
      <c r="K218" s="31"/>
      <c r="L218" s="31"/>
      <c r="M218" s="31"/>
      <c r="N218" s="31"/>
      <c r="O218" s="31"/>
      <c r="P218" s="31"/>
      <c r="Q218" s="31"/>
      <c r="R218" s="31"/>
      <c r="S218" s="31"/>
      <c r="T218" s="31"/>
      <c r="U218" s="31"/>
      <c r="V218" s="31"/>
      <c r="W218" s="31"/>
      <c r="X218" s="31"/>
      <c r="Y218" s="31"/>
      <c r="Z218" s="31"/>
    </row>
    <row r="219" ht="15.75" customHeight="1">
      <c r="B219" s="84"/>
      <c r="E219" s="31"/>
      <c r="F219" s="11"/>
      <c r="J219" s="31"/>
      <c r="K219" s="31"/>
      <c r="L219" s="31"/>
      <c r="M219" s="31"/>
      <c r="N219" s="31"/>
      <c r="O219" s="31"/>
      <c r="P219" s="31"/>
      <c r="Q219" s="31"/>
      <c r="R219" s="31"/>
      <c r="S219" s="31"/>
      <c r="T219" s="31"/>
      <c r="U219" s="31"/>
      <c r="V219" s="31"/>
      <c r="W219" s="31"/>
      <c r="X219" s="31"/>
      <c r="Y219" s="31"/>
      <c r="Z219" s="31"/>
    </row>
    <row r="220" ht="15.75" customHeight="1">
      <c r="B220" s="84"/>
      <c r="E220" s="31"/>
      <c r="F220" s="11"/>
      <c r="J220" s="31"/>
      <c r="K220" s="31"/>
      <c r="L220" s="31"/>
      <c r="M220" s="31"/>
      <c r="N220" s="31"/>
      <c r="O220" s="31"/>
      <c r="P220" s="31"/>
      <c r="Q220" s="31"/>
      <c r="R220" s="31"/>
      <c r="S220" s="31"/>
      <c r="T220" s="31"/>
      <c r="U220" s="31"/>
      <c r="V220" s="31"/>
      <c r="W220" s="31"/>
      <c r="X220" s="31"/>
      <c r="Y220" s="31"/>
      <c r="Z220" s="31"/>
    </row>
    <row r="221" ht="15.75" customHeight="1">
      <c r="B221" s="11"/>
      <c r="F221" s="11"/>
    </row>
    <row r="222" ht="15.75" customHeight="1">
      <c r="B222" s="11"/>
      <c r="F222" s="11"/>
    </row>
    <row r="223" ht="15.75" customHeight="1">
      <c r="B223" s="11"/>
      <c r="F223" s="11"/>
    </row>
    <row r="224" ht="15.75" customHeight="1">
      <c r="B224" s="11"/>
      <c r="F224" s="11"/>
    </row>
    <row r="225" ht="15.75" customHeight="1">
      <c r="B225" s="11"/>
      <c r="F225" s="11"/>
    </row>
    <row r="226" ht="15.75" customHeight="1">
      <c r="B226" s="11"/>
      <c r="F226" s="11"/>
    </row>
    <row r="227" ht="15.75" customHeight="1">
      <c r="B227" s="11"/>
      <c r="F227" s="11"/>
    </row>
    <row r="228" ht="15.75" customHeight="1">
      <c r="B228" s="11"/>
      <c r="F228" s="11"/>
    </row>
    <row r="229" ht="15.75" customHeight="1">
      <c r="B229" s="11"/>
      <c r="F229" s="11"/>
    </row>
    <row r="230" ht="15.75" customHeight="1">
      <c r="B230" s="11"/>
      <c r="F230" s="11"/>
    </row>
    <row r="231" ht="15.75" customHeight="1">
      <c r="B231" s="11"/>
      <c r="F231" s="11"/>
    </row>
    <row r="232" ht="15.75" customHeight="1">
      <c r="B232" s="11"/>
      <c r="F232" s="11"/>
    </row>
    <row r="233" ht="15.75" customHeight="1">
      <c r="B233" s="11"/>
      <c r="F233" s="11"/>
    </row>
    <row r="234" ht="15.75" customHeight="1">
      <c r="B234" s="11"/>
      <c r="F234" s="11"/>
    </row>
    <row r="235" ht="15.75" customHeight="1">
      <c r="B235" s="11"/>
      <c r="F235" s="11"/>
    </row>
    <row r="236" ht="15.75" customHeight="1">
      <c r="B236" s="11"/>
      <c r="F236" s="11"/>
    </row>
    <row r="237" ht="15.75" customHeight="1">
      <c r="B237" s="11"/>
      <c r="F237" s="11"/>
    </row>
    <row r="238" ht="15.75" customHeight="1">
      <c r="B238" s="11"/>
      <c r="F238" s="11"/>
    </row>
    <row r="239" ht="15.75" customHeight="1">
      <c r="B239" s="11"/>
      <c r="F239" s="11"/>
    </row>
    <row r="240" ht="15.75" customHeight="1">
      <c r="B240" s="11"/>
      <c r="F240" s="11"/>
    </row>
    <row r="241" ht="15.75" customHeight="1">
      <c r="B241" s="11"/>
      <c r="F241" s="11"/>
    </row>
    <row r="242" ht="15.75" customHeight="1">
      <c r="B242" s="11"/>
      <c r="F242" s="11"/>
    </row>
    <row r="243" ht="15.75" customHeight="1">
      <c r="B243" s="11"/>
      <c r="F243" s="11"/>
    </row>
    <row r="244" ht="15.75" customHeight="1">
      <c r="B244" s="11"/>
      <c r="F244" s="11"/>
    </row>
    <row r="245" ht="15.75" customHeight="1">
      <c r="B245" s="11"/>
      <c r="F245" s="11"/>
    </row>
    <row r="246" ht="15.75" customHeight="1">
      <c r="B246" s="11"/>
      <c r="F246" s="11"/>
    </row>
    <row r="247" ht="15.75" customHeight="1">
      <c r="B247" s="11"/>
      <c r="F247" s="11"/>
    </row>
    <row r="248" ht="15.75" customHeight="1">
      <c r="B248" s="11"/>
      <c r="F248" s="11"/>
    </row>
    <row r="249" ht="15.75" customHeight="1">
      <c r="B249" s="11"/>
      <c r="F249" s="11"/>
    </row>
    <row r="250" ht="15.75" customHeight="1">
      <c r="B250" s="11"/>
      <c r="F250" s="11"/>
    </row>
    <row r="251" ht="15.75" customHeight="1">
      <c r="B251" s="11"/>
      <c r="F251" s="11"/>
    </row>
    <row r="252" ht="15.75" customHeight="1">
      <c r="B252" s="11"/>
      <c r="F252" s="11"/>
    </row>
    <row r="253" ht="15.75" customHeight="1">
      <c r="B253" s="11"/>
      <c r="F253" s="11"/>
    </row>
    <row r="254" ht="15.75" customHeight="1">
      <c r="B254" s="11"/>
      <c r="F254" s="11"/>
    </row>
    <row r="255" ht="15.75" customHeight="1">
      <c r="B255" s="11"/>
      <c r="F255" s="11"/>
    </row>
    <row r="256" ht="15.75" customHeight="1">
      <c r="B256" s="11"/>
      <c r="F256" s="11"/>
    </row>
    <row r="257" ht="15.75" customHeight="1">
      <c r="B257" s="11"/>
      <c r="F257" s="11"/>
    </row>
    <row r="258" ht="15.75" customHeight="1">
      <c r="B258" s="11"/>
      <c r="F258" s="11"/>
    </row>
    <row r="259" ht="15.75" customHeight="1">
      <c r="B259" s="11"/>
      <c r="F259" s="11"/>
    </row>
    <row r="260" ht="15.75" customHeight="1">
      <c r="B260" s="11"/>
      <c r="F260" s="11"/>
    </row>
    <row r="261" ht="15.75" customHeight="1">
      <c r="B261" s="11"/>
      <c r="F261" s="11"/>
    </row>
    <row r="262" ht="15.75" customHeight="1">
      <c r="B262" s="11"/>
      <c r="F262" s="11"/>
    </row>
    <row r="263" ht="15.75" customHeight="1">
      <c r="B263" s="11"/>
      <c r="F263" s="11"/>
    </row>
    <row r="264" ht="15.75" customHeight="1">
      <c r="B264" s="11"/>
      <c r="F264" s="11"/>
    </row>
    <row r="265" ht="15.75" customHeight="1">
      <c r="B265" s="11"/>
      <c r="F265" s="11"/>
    </row>
    <row r="266" ht="15.75" customHeight="1">
      <c r="B266" s="11"/>
      <c r="F266" s="11"/>
    </row>
    <row r="267" ht="15.75" customHeight="1">
      <c r="B267" s="11"/>
      <c r="F267" s="11"/>
    </row>
    <row r="268" ht="15.75" customHeight="1">
      <c r="B268" s="11"/>
      <c r="F268" s="11"/>
    </row>
    <row r="269" ht="15.75" customHeight="1">
      <c r="B269" s="11"/>
      <c r="F269" s="11"/>
    </row>
    <row r="270" ht="15.75" customHeight="1">
      <c r="B270" s="11"/>
      <c r="F270" s="11"/>
    </row>
    <row r="271" ht="15.75" customHeight="1">
      <c r="B271" s="11"/>
      <c r="F271" s="11"/>
    </row>
    <row r="272" ht="15.75" customHeight="1">
      <c r="B272" s="11"/>
      <c r="F272" s="11"/>
    </row>
    <row r="273" ht="15.75" customHeight="1">
      <c r="B273" s="11"/>
      <c r="F273" s="11"/>
    </row>
    <row r="274" ht="15.75" customHeight="1">
      <c r="B274" s="11"/>
      <c r="F274" s="11"/>
    </row>
    <row r="275" ht="15.75" customHeight="1">
      <c r="B275" s="11"/>
      <c r="F275" s="11"/>
    </row>
    <row r="276" ht="15.75" customHeight="1">
      <c r="B276" s="11"/>
      <c r="F276" s="11"/>
    </row>
    <row r="277" ht="15.75" customHeight="1">
      <c r="B277" s="11"/>
      <c r="F277" s="11"/>
    </row>
    <row r="278" ht="15.75" customHeight="1">
      <c r="B278" s="11"/>
      <c r="F278" s="11"/>
    </row>
    <row r="279" ht="15.75" customHeight="1">
      <c r="B279" s="11"/>
      <c r="F279" s="11"/>
    </row>
    <row r="280" ht="15.75" customHeight="1">
      <c r="B280" s="11"/>
      <c r="F280" s="11"/>
    </row>
    <row r="281" ht="15.75" customHeight="1">
      <c r="B281" s="11"/>
      <c r="F281" s="11"/>
    </row>
    <row r="282" ht="15.75" customHeight="1">
      <c r="B282" s="11"/>
      <c r="F282" s="11"/>
    </row>
    <row r="283" ht="15.75" customHeight="1">
      <c r="B283" s="11"/>
      <c r="F283" s="11"/>
    </row>
    <row r="284" ht="15.75" customHeight="1">
      <c r="B284" s="11"/>
      <c r="F284" s="11"/>
    </row>
    <row r="285" ht="15.75" customHeight="1">
      <c r="B285" s="11"/>
      <c r="F285" s="11"/>
    </row>
    <row r="286" ht="15.75" customHeight="1">
      <c r="B286" s="11"/>
      <c r="F286" s="11"/>
    </row>
    <row r="287" ht="15.75" customHeight="1">
      <c r="B287" s="11"/>
      <c r="F287" s="11"/>
    </row>
    <row r="288" ht="15.75" customHeight="1">
      <c r="B288" s="11"/>
      <c r="F288" s="11"/>
    </row>
    <row r="289" ht="15.75" customHeight="1">
      <c r="B289" s="11"/>
      <c r="F289" s="11"/>
    </row>
    <row r="290" ht="15.75" customHeight="1">
      <c r="B290" s="11"/>
      <c r="F290" s="11"/>
    </row>
    <row r="291" ht="15.75" customHeight="1">
      <c r="B291" s="11"/>
      <c r="F291" s="11"/>
    </row>
    <row r="292" ht="15.75" customHeight="1">
      <c r="B292" s="11"/>
      <c r="F292" s="11"/>
    </row>
    <row r="293" ht="15.75" customHeight="1">
      <c r="B293" s="11"/>
      <c r="F293" s="11"/>
    </row>
    <row r="294" ht="15.75" customHeight="1">
      <c r="B294" s="11"/>
      <c r="F294" s="11"/>
    </row>
    <row r="295" ht="15.75" customHeight="1">
      <c r="B295" s="11"/>
      <c r="F295" s="11"/>
    </row>
    <row r="296" ht="15.75" customHeight="1">
      <c r="B296" s="11"/>
      <c r="F296" s="11"/>
    </row>
    <row r="297" ht="15.75" customHeight="1">
      <c r="B297" s="11"/>
      <c r="F297" s="11"/>
    </row>
    <row r="298" ht="15.75" customHeight="1">
      <c r="B298" s="11"/>
      <c r="F298" s="11"/>
    </row>
    <row r="299" ht="15.75" customHeight="1">
      <c r="B299" s="11"/>
      <c r="F299" s="11"/>
    </row>
    <row r="300" ht="15.75" customHeight="1">
      <c r="B300" s="11"/>
      <c r="F300" s="11"/>
    </row>
    <row r="301" ht="15.75" customHeight="1">
      <c r="B301" s="11"/>
      <c r="F301" s="11"/>
    </row>
    <row r="302" ht="15.75" customHeight="1">
      <c r="B302" s="11"/>
      <c r="F302" s="11"/>
    </row>
    <row r="303" ht="15.75" customHeight="1">
      <c r="B303" s="11"/>
      <c r="F303" s="11"/>
    </row>
    <row r="304" ht="15.75" customHeight="1">
      <c r="B304" s="11"/>
      <c r="F304" s="11"/>
    </row>
    <row r="305" ht="15.75" customHeight="1">
      <c r="B305" s="11"/>
      <c r="F305" s="11"/>
    </row>
    <row r="306" ht="15.75" customHeight="1">
      <c r="B306" s="11"/>
      <c r="F306" s="11"/>
    </row>
    <row r="307" ht="15.75" customHeight="1">
      <c r="B307" s="11"/>
      <c r="F307" s="11"/>
    </row>
    <row r="308" ht="15.75" customHeight="1">
      <c r="B308" s="11"/>
      <c r="F308" s="11"/>
    </row>
    <row r="309" ht="15.75" customHeight="1">
      <c r="B309" s="11"/>
      <c r="F309" s="11"/>
    </row>
    <row r="310" ht="15.75" customHeight="1">
      <c r="B310" s="11"/>
      <c r="F310" s="11"/>
    </row>
    <row r="311" ht="15.75" customHeight="1">
      <c r="B311" s="11"/>
      <c r="F311" s="11"/>
    </row>
    <row r="312" ht="15.75" customHeight="1">
      <c r="B312" s="11"/>
      <c r="F312" s="11"/>
    </row>
    <row r="313" ht="15.75" customHeight="1">
      <c r="B313" s="11"/>
      <c r="F313" s="11"/>
    </row>
    <row r="314" ht="15.75" customHeight="1">
      <c r="B314" s="11"/>
      <c r="F314" s="11"/>
    </row>
    <row r="315" ht="15.75" customHeight="1">
      <c r="B315" s="11"/>
      <c r="F315" s="11"/>
    </row>
    <row r="316" ht="15.75" customHeight="1">
      <c r="B316" s="11"/>
      <c r="F316" s="11"/>
    </row>
    <row r="317" ht="15.75" customHeight="1">
      <c r="B317" s="11"/>
      <c r="F317" s="11"/>
    </row>
    <row r="318" ht="15.75" customHeight="1">
      <c r="B318" s="11"/>
      <c r="F318" s="11"/>
    </row>
    <row r="319" ht="15.75" customHeight="1">
      <c r="B319" s="11"/>
      <c r="F319" s="11"/>
    </row>
    <row r="320" ht="15.75" customHeight="1">
      <c r="B320" s="11"/>
      <c r="F320" s="11"/>
    </row>
    <row r="321" ht="15.75" customHeight="1">
      <c r="B321" s="11"/>
      <c r="F321" s="11"/>
    </row>
    <row r="322" ht="15.75" customHeight="1">
      <c r="B322" s="11"/>
      <c r="F322" s="11"/>
    </row>
    <row r="323" ht="15.75" customHeight="1">
      <c r="B323" s="11"/>
      <c r="F323" s="11"/>
    </row>
    <row r="324" ht="15.75" customHeight="1">
      <c r="B324" s="11"/>
      <c r="F324" s="11"/>
    </row>
    <row r="325" ht="15.75" customHeight="1">
      <c r="B325" s="11"/>
      <c r="F325" s="11"/>
    </row>
    <row r="326" ht="15.75" customHeight="1">
      <c r="B326" s="11"/>
      <c r="F326" s="11"/>
    </row>
    <row r="327" ht="15.75" customHeight="1">
      <c r="B327" s="11"/>
      <c r="F327" s="11"/>
    </row>
    <row r="328" ht="15.75" customHeight="1">
      <c r="B328" s="11"/>
      <c r="F328" s="11"/>
    </row>
    <row r="329" ht="15.75" customHeight="1">
      <c r="B329" s="11"/>
      <c r="F329" s="11"/>
    </row>
    <row r="330" ht="15.75" customHeight="1">
      <c r="B330" s="11"/>
      <c r="F330" s="11"/>
    </row>
    <row r="331" ht="15.75" customHeight="1">
      <c r="B331" s="11"/>
      <c r="F331" s="11"/>
    </row>
    <row r="332" ht="15.75" customHeight="1">
      <c r="B332" s="11"/>
      <c r="F332" s="11"/>
    </row>
    <row r="333" ht="15.75" customHeight="1">
      <c r="B333" s="11"/>
      <c r="F333" s="11"/>
    </row>
    <row r="334" ht="15.75" customHeight="1">
      <c r="B334" s="11"/>
      <c r="F334" s="11"/>
    </row>
    <row r="335" ht="15.75" customHeight="1">
      <c r="B335" s="11"/>
      <c r="F335" s="11"/>
    </row>
    <row r="336" ht="15.75" customHeight="1">
      <c r="B336" s="11"/>
      <c r="F336" s="11"/>
    </row>
    <row r="337" ht="15.75" customHeight="1">
      <c r="B337" s="11"/>
      <c r="F337" s="11"/>
    </row>
    <row r="338" ht="15.75" customHeight="1">
      <c r="B338" s="11"/>
      <c r="F338" s="11"/>
    </row>
    <row r="339" ht="15.75" customHeight="1">
      <c r="B339" s="11"/>
      <c r="F339" s="11"/>
    </row>
    <row r="340" ht="15.75" customHeight="1">
      <c r="B340" s="11"/>
      <c r="F340" s="11"/>
    </row>
    <row r="341" ht="15.75" customHeight="1">
      <c r="B341" s="11"/>
      <c r="F341" s="11"/>
    </row>
    <row r="342" ht="15.75" customHeight="1">
      <c r="B342" s="11"/>
      <c r="F342" s="11"/>
    </row>
    <row r="343" ht="15.75" customHeight="1">
      <c r="B343" s="11"/>
      <c r="F343" s="11"/>
    </row>
    <row r="344" ht="15.75" customHeight="1">
      <c r="B344" s="11"/>
      <c r="F344" s="11"/>
    </row>
    <row r="345" ht="15.75" customHeight="1">
      <c r="B345" s="11"/>
      <c r="F345" s="11"/>
    </row>
    <row r="346" ht="15.75" customHeight="1">
      <c r="B346" s="11"/>
      <c r="F346" s="11"/>
    </row>
    <row r="347" ht="15.75" customHeight="1">
      <c r="B347" s="11"/>
      <c r="F347" s="11"/>
    </row>
    <row r="348" ht="15.75" customHeight="1">
      <c r="B348" s="11"/>
      <c r="F348" s="11"/>
    </row>
    <row r="349" ht="15.75" customHeight="1">
      <c r="B349" s="11"/>
      <c r="F349" s="11"/>
    </row>
    <row r="350" ht="15.75" customHeight="1">
      <c r="B350" s="11"/>
      <c r="F350" s="11"/>
    </row>
    <row r="351" ht="15.75" customHeight="1">
      <c r="B351" s="11"/>
      <c r="F351" s="11"/>
    </row>
    <row r="352" ht="15.75" customHeight="1">
      <c r="B352" s="11"/>
      <c r="F352" s="11"/>
    </row>
    <row r="353" ht="15.75" customHeight="1">
      <c r="B353" s="11"/>
      <c r="F353" s="11"/>
    </row>
    <row r="354" ht="15.75" customHeight="1">
      <c r="B354" s="11"/>
      <c r="F354" s="11"/>
    </row>
    <row r="355" ht="15.75" customHeight="1">
      <c r="B355" s="11"/>
      <c r="F355" s="11"/>
    </row>
    <row r="356" ht="15.75" customHeight="1">
      <c r="B356" s="11"/>
      <c r="F356" s="11"/>
    </row>
    <row r="357" ht="15.75" customHeight="1">
      <c r="B357" s="11"/>
      <c r="F357" s="11"/>
    </row>
    <row r="358" ht="15.75" customHeight="1">
      <c r="B358" s="11"/>
      <c r="F358" s="11"/>
    </row>
    <row r="359" ht="15.75" customHeight="1">
      <c r="B359" s="11"/>
      <c r="F359" s="11"/>
    </row>
    <row r="360" ht="15.75" customHeight="1">
      <c r="B360" s="11"/>
      <c r="F360" s="11"/>
    </row>
    <row r="361" ht="15.75" customHeight="1">
      <c r="B361" s="11"/>
      <c r="F361" s="11"/>
    </row>
    <row r="362" ht="15.75" customHeight="1">
      <c r="B362" s="11"/>
      <c r="F362" s="11"/>
    </row>
    <row r="363" ht="15.75" customHeight="1">
      <c r="B363" s="11"/>
      <c r="F363" s="11"/>
    </row>
    <row r="364" ht="15.75" customHeight="1">
      <c r="B364" s="11"/>
      <c r="F364" s="11"/>
    </row>
    <row r="365" ht="15.75" customHeight="1">
      <c r="B365" s="11"/>
      <c r="F365" s="11"/>
    </row>
    <row r="366" ht="15.75" customHeight="1">
      <c r="B366" s="11"/>
      <c r="F366" s="11"/>
    </row>
    <row r="367" ht="15.75" customHeight="1">
      <c r="B367" s="11"/>
      <c r="F367" s="11"/>
    </row>
    <row r="368" ht="15.75" customHeight="1">
      <c r="B368" s="11"/>
      <c r="F368" s="11"/>
    </row>
    <row r="369" ht="15.75" customHeight="1">
      <c r="B369" s="11"/>
      <c r="F369" s="11"/>
    </row>
    <row r="370" ht="15.75" customHeight="1">
      <c r="B370" s="11"/>
      <c r="F370" s="11"/>
    </row>
    <row r="371" ht="15.75" customHeight="1">
      <c r="B371" s="11"/>
      <c r="F371" s="11"/>
    </row>
    <row r="372" ht="15.75" customHeight="1">
      <c r="B372" s="11"/>
      <c r="F372" s="11"/>
    </row>
    <row r="373" ht="15.75" customHeight="1">
      <c r="B373" s="11"/>
      <c r="F373" s="11"/>
    </row>
    <row r="374" ht="15.75" customHeight="1">
      <c r="B374" s="11"/>
      <c r="F374" s="11"/>
    </row>
    <row r="375" ht="15.75" customHeight="1">
      <c r="B375" s="11"/>
      <c r="F375" s="11"/>
    </row>
    <row r="376" ht="15.75" customHeight="1">
      <c r="B376" s="11"/>
      <c r="F376" s="11"/>
    </row>
    <row r="377" ht="15.75" customHeight="1">
      <c r="B377" s="11"/>
      <c r="F377" s="11"/>
    </row>
    <row r="378" ht="15.75" customHeight="1">
      <c r="B378" s="11"/>
      <c r="F378" s="11"/>
    </row>
    <row r="379" ht="15.75" customHeight="1">
      <c r="B379" s="11"/>
      <c r="F379" s="11"/>
    </row>
    <row r="380" ht="15.75" customHeight="1">
      <c r="B380" s="11"/>
      <c r="F380" s="11"/>
    </row>
    <row r="381" ht="15.75" customHeight="1">
      <c r="B381" s="11"/>
      <c r="F381" s="11"/>
    </row>
    <row r="382" ht="15.75" customHeight="1">
      <c r="B382" s="11"/>
      <c r="F382" s="11"/>
    </row>
    <row r="383" ht="15.75" customHeight="1">
      <c r="B383" s="11"/>
      <c r="F383" s="11"/>
    </row>
    <row r="384" ht="15.75" customHeight="1">
      <c r="B384" s="11"/>
      <c r="F384" s="11"/>
    </row>
    <row r="385" ht="15.75" customHeight="1">
      <c r="B385" s="11"/>
      <c r="F385" s="11"/>
    </row>
    <row r="386" ht="15.75" customHeight="1">
      <c r="B386" s="11"/>
      <c r="F386" s="11"/>
    </row>
    <row r="387" ht="15.75" customHeight="1">
      <c r="B387" s="11"/>
      <c r="F387" s="11"/>
    </row>
    <row r="388" ht="15.75" customHeight="1">
      <c r="B388" s="11"/>
      <c r="F388" s="11"/>
    </row>
    <row r="389" ht="15.75" customHeight="1">
      <c r="B389" s="11"/>
      <c r="F389" s="11"/>
    </row>
    <row r="390" ht="15.75" customHeight="1">
      <c r="B390" s="11"/>
      <c r="F390" s="11"/>
    </row>
    <row r="391" ht="15.75" customHeight="1">
      <c r="B391" s="11"/>
      <c r="F391" s="11"/>
    </row>
    <row r="392" ht="15.75" customHeight="1">
      <c r="B392" s="11"/>
      <c r="F392" s="11"/>
    </row>
    <row r="393" ht="15.75" customHeight="1">
      <c r="B393" s="11"/>
      <c r="F393" s="11"/>
    </row>
    <row r="394" ht="15.75" customHeight="1">
      <c r="B394" s="11"/>
      <c r="F394" s="11"/>
    </row>
    <row r="395" ht="15.75" customHeight="1">
      <c r="B395" s="11"/>
      <c r="F395" s="11"/>
    </row>
    <row r="396" ht="15.75" customHeight="1">
      <c r="B396" s="11"/>
      <c r="F396" s="11"/>
    </row>
    <row r="397" ht="15.75" customHeight="1">
      <c r="B397" s="11"/>
      <c r="F397" s="11"/>
    </row>
    <row r="398" ht="15.75" customHeight="1">
      <c r="B398" s="11"/>
      <c r="F398" s="11"/>
    </row>
    <row r="399" ht="15.75" customHeight="1">
      <c r="B399" s="11"/>
      <c r="F399" s="11"/>
    </row>
    <row r="400" ht="15.75" customHeight="1">
      <c r="B400" s="11"/>
      <c r="F400" s="11"/>
    </row>
    <row r="401" ht="15.75" customHeight="1">
      <c r="B401" s="11"/>
      <c r="F401" s="11"/>
    </row>
    <row r="402" ht="15.75" customHeight="1">
      <c r="B402" s="11"/>
      <c r="F402" s="11"/>
    </row>
    <row r="403" ht="15.75" customHeight="1">
      <c r="B403" s="11"/>
      <c r="F403" s="11"/>
    </row>
    <row r="404" ht="15.75" customHeight="1">
      <c r="B404" s="11"/>
      <c r="F404" s="11"/>
    </row>
    <row r="405" ht="15.75" customHeight="1">
      <c r="B405" s="11"/>
      <c r="F405" s="11"/>
    </row>
    <row r="406" ht="15.75" customHeight="1">
      <c r="B406" s="11"/>
      <c r="F406" s="11"/>
    </row>
    <row r="407" ht="15.75" customHeight="1">
      <c r="B407" s="11"/>
      <c r="F407" s="11"/>
    </row>
    <row r="408" ht="15.75" customHeight="1">
      <c r="B408" s="11"/>
      <c r="F408" s="11"/>
    </row>
    <row r="409" ht="15.75" customHeight="1">
      <c r="B409" s="11"/>
      <c r="F409" s="11"/>
    </row>
    <row r="410" ht="15.75" customHeight="1">
      <c r="B410" s="11"/>
      <c r="F410" s="11"/>
    </row>
    <row r="411" ht="15.75" customHeight="1">
      <c r="B411" s="11"/>
      <c r="F411" s="11"/>
    </row>
    <row r="412" ht="15.75" customHeight="1">
      <c r="B412" s="11"/>
      <c r="F412" s="11"/>
    </row>
    <row r="413" ht="15.75" customHeight="1">
      <c r="B413" s="11"/>
      <c r="F413" s="11"/>
    </row>
    <row r="414" ht="15.75" customHeight="1">
      <c r="B414" s="11"/>
      <c r="F414" s="11"/>
    </row>
    <row r="415" ht="15.75" customHeight="1">
      <c r="B415" s="11"/>
      <c r="F415" s="11"/>
    </row>
    <row r="416" ht="15.75" customHeight="1">
      <c r="B416" s="11"/>
      <c r="F416" s="11"/>
    </row>
    <row r="417" ht="15.75" customHeight="1">
      <c r="B417" s="11"/>
      <c r="F417" s="11"/>
    </row>
    <row r="418" ht="15.75" customHeight="1">
      <c r="B418" s="11"/>
      <c r="F418" s="11"/>
    </row>
    <row r="419" ht="15.75" customHeight="1">
      <c r="B419" s="11"/>
      <c r="F419" s="11"/>
    </row>
    <row r="420" ht="15.75" customHeight="1">
      <c r="B420" s="11"/>
      <c r="F420" s="11"/>
    </row>
    <row r="421" ht="15.75" customHeight="1">
      <c r="B421" s="11"/>
      <c r="F421" s="11"/>
    </row>
    <row r="422" ht="15.75" customHeight="1">
      <c r="B422" s="11"/>
      <c r="F422" s="11"/>
    </row>
    <row r="423" ht="15.75" customHeight="1">
      <c r="B423" s="11"/>
      <c r="F423" s="11"/>
    </row>
    <row r="424" ht="15.75" customHeight="1">
      <c r="B424" s="11"/>
      <c r="F424" s="11"/>
    </row>
    <row r="425" ht="15.75" customHeight="1">
      <c r="B425" s="11"/>
      <c r="F425" s="11"/>
    </row>
    <row r="426" ht="15.75" customHeight="1">
      <c r="B426" s="11"/>
      <c r="F426" s="11"/>
    </row>
    <row r="427" ht="15.75" customHeight="1">
      <c r="B427" s="11"/>
      <c r="F427" s="11"/>
    </row>
    <row r="428" ht="15.75" customHeight="1">
      <c r="B428" s="11"/>
      <c r="F428" s="11"/>
    </row>
    <row r="429" ht="15.75" customHeight="1">
      <c r="B429" s="11"/>
      <c r="F429" s="11"/>
    </row>
    <row r="430" ht="15.75" customHeight="1">
      <c r="B430" s="11"/>
      <c r="F430" s="11"/>
    </row>
    <row r="431" ht="15.75" customHeight="1">
      <c r="B431" s="11"/>
      <c r="F431" s="11"/>
    </row>
    <row r="432" ht="15.75" customHeight="1">
      <c r="B432" s="11"/>
      <c r="F432" s="11"/>
    </row>
    <row r="433" ht="15.75" customHeight="1">
      <c r="B433" s="11"/>
      <c r="F433" s="11"/>
    </row>
    <row r="434" ht="15.75" customHeight="1">
      <c r="B434" s="11"/>
      <c r="F434" s="11"/>
    </row>
    <row r="435" ht="15.75" customHeight="1">
      <c r="B435" s="11"/>
      <c r="F435" s="11"/>
    </row>
    <row r="436" ht="15.75" customHeight="1">
      <c r="B436" s="11"/>
      <c r="F436" s="11"/>
    </row>
    <row r="437" ht="15.75" customHeight="1">
      <c r="B437" s="11"/>
      <c r="F437" s="11"/>
    </row>
    <row r="438" ht="15.75" customHeight="1">
      <c r="B438" s="11"/>
      <c r="F438" s="11"/>
    </row>
    <row r="439" ht="15.75" customHeight="1">
      <c r="B439" s="11"/>
      <c r="F439" s="11"/>
    </row>
    <row r="440" ht="15.75" customHeight="1">
      <c r="B440" s="11"/>
      <c r="F440" s="11"/>
    </row>
    <row r="441" ht="15.75" customHeight="1">
      <c r="B441" s="11"/>
      <c r="F441" s="11"/>
    </row>
    <row r="442" ht="15.75" customHeight="1">
      <c r="B442" s="11"/>
      <c r="F442" s="11"/>
    </row>
    <row r="443" ht="15.75" customHeight="1">
      <c r="B443" s="11"/>
      <c r="F443" s="11"/>
    </row>
    <row r="444" ht="15.75" customHeight="1">
      <c r="B444" s="11"/>
      <c r="F444" s="11"/>
    </row>
    <row r="445" ht="15.75" customHeight="1">
      <c r="B445" s="11"/>
      <c r="F445" s="11"/>
    </row>
    <row r="446" ht="15.75" customHeight="1">
      <c r="B446" s="11"/>
      <c r="F446" s="11"/>
    </row>
    <row r="447" ht="15.75" customHeight="1">
      <c r="B447" s="11"/>
      <c r="F447" s="11"/>
    </row>
    <row r="448" ht="15.75" customHeight="1">
      <c r="B448" s="11"/>
      <c r="F448" s="11"/>
    </row>
    <row r="449" ht="15.75" customHeight="1">
      <c r="B449" s="11"/>
      <c r="F449" s="11"/>
    </row>
    <row r="450" ht="15.75" customHeight="1">
      <c r="B450" s="11"/>
      <c r="F450" s="11"/>
    </row>
    <row r="451" ht="15.75" customHeight="1">
      <c r="B451" s="11"/>
      <c r="F451" s="11"/>
    </row>
    <row r="452" ht="15.75" customHeight="1">
      <c r="B452" s="11"/>
      <c r="F452" s="11"/>
    </row>
    <row r="453" ht="15.75" customHeight="1">
      <c r="B453" s="11"/>
      <c r="F453" s="11"/>
    </row>
    <row r="454" ht="15.75" customHeight="1">
      <c r="B454" s="11"/>
      <c r="F454" s="11"/>
    </row>
    <row r="455" ht="15.75" customHeight="1">
      <c r="B455" s="11"/>
      <c r="F455" s="11"/>
    </row>
    <row r="456" ht="15.75" customHeight="1">
      <c r="B456" s="11"/>
      <c r="F456" s="11"/>
    </row>
    <row r="457" ht="15.75" customHeight="1">
      <c r="B457" s="11"/>
      <c r="F457" s="11"/>
    </row>
    <row r="458" ht="15.75" customHeight="1">
      <c r="B458" s="11"/>
      <c r="F458" s="11"/>
    </row>
    <row r="459" ht="15.75" customHeight="1">
      <c r="B459" s="11"/>
      <c r="F459" s="11"/>
    </row>
    <row r="460" ht="15.75" customHeight="1">
      <c r="B460" s="11"/>
      <c r="F460" s="11"/>
    </row>
    <row r="461" ht="15.75" customHeight="1">
      <c r="B461" s="11"/>
      <c r="F461" s="11"/>
    </row>
    <row r="462" ht="15.75" customHeight="1">
      <c r="B462" s="11"/>
      <c r="F462" s="11"/>
    </row>
    <row r="463" ht="15.75" customHeight="1">
      <c r="B463" s="11"/>
      <c r="F463" s="11"/>
    </row>
    <row r="464" ht="15.75" customHeight="1">
      <c r="B464" s="11"/>
      <c r="F464" s="11"/>
    </row>
    <row r="465" ht="15.75" customHeight="1">
      <c r="B465" s="11"/>
      <c r="F465" s="11"/>
    </row>
    <row r="466" ht="15.75" customHeight="1">
      <c r="B466" s="11"/>
      <c r="F466" s="11"/>
    </row>
    <row r="467" ht="15.75" customHeight="1">
      <c r="B467" s="11"/>
      <c r="F467" s="11"/>
    </row>
    <row r="468" ht="15.75" customHeight="1">
      <c r="B468" s="11"/>
      <c r="F468" s="11"/>
    </row>
    <row r="469" ht="15.75" customHeight="1">
      <c r="B469" s="11"/>
      <c r="F469" s="11"/>
    </row>
    <row r="470" ht="15.75" customHeight="1">
      <c r="B470" s="11"/>
      <c r="F470" s="11"/>
    </row>
    <row r="471" ht="15.75" customHeight="1">
      <c r="B471" s="11"/>
      <c r="F471" s="11"/>
    </row>
    <row r="472" ht="15.75" customHeight="1">
      <c r="B472" s="11"/>
      <c r="F472" s="11"/>
    </row>
    <row r="473" ht="15.75" customHeight="1">
      <c r="B473" s="11"/>
      <c r="F473" s="11"/>
    </row>
    <row r="474" ht="15.75" customHeight="1">
      <c r="B474" s="11"/>
      <c r="F474" s="11"/>
    </row>
    <row r="475" ht="15.75" customHeight="1">
      <c r="B475" s="11"/>
      <c r="F475" s="11"/>
    </row>
    <row r="476" ht="15.75" customHeight="1">
      <c r="B476" s="11"/>
      <c r="F476" s="11"/>
    </row>
    <row r="477" ht="15.75" customHeight="1">
      <c r="B477" s="11"/>
      <c r="F477" s="11"/>
    </row>
    <row r="478" ht="15.75" customHeight="1">
      <c r="B478" s="11"/>
      <c r="F478" s="11"/>
    </row>
    <row r="479" ht="15.75" customHeight="1">
      <c r="B479" s="11"/>
      <c r="F479" s="11"/>
    </row>
    <row r="480" ht="15.75" customHeight="1">
      <c r="B480" s="11"/>
      <c r="F480" s="11"/>
    </row>
    <row r="481" ht="15.75" customHeight="1">
      <c r="B481" s="11"/>
      <c r="F481" s="11"/>
    </row>
    <row r="482" ht="15.75" customHeight="1">
      <c r="B482" s="11"/>
      <c r="F482" s="11"/>
    </row>
    <row r="483" ht="15.75" customHeight="1">
      <c r="B483" s="11"/>
      <c r="F483" s="11"/>
    </row>
    <row r="484" ht="15.75" customHeight="1">
      <c r="B484" s="11"/>
      <c r="F484" s="11"/>
    </row>
    <row r="485" ht="15.75" customHeight="1">
      <c r="B485" s="11"/>
      <c r="F485" s="11"/>
    </row>
    <row r="486" ht="15.75" customHeight="1">
      <c r="B486" s="11"/>
      <c r="F486" s="11"/>
    </row>
    <row r="487" ht="15.75" customHeight="1">
      <c r="B487" s="11"/>
      <c r="F487" s="11"/>
    </row>
    <row r="488" ht="15.75" customHeight="1">
      <c r="B488" s="11"/>
      <c r="F488" s="11"/>
    </row>
    <row r="489" ht="15.75" customHeight="1">
      <c r="B489" s="11"/>
      <c r="F489" s="11"/>
    </row>
    <row r="490" ht="15.75" customHeight="1">
      <c r="B490" s="11"/>
      <c r="F490" s="11"/>
    </row>
    <row r="491" ht="15.75" customHeight="1">
      <c r="B491" s="11"/>
      <c r="F491" s="11"/>
    </row>
    <row r="492" ht="15.75" customHeight="1">
      <c r="B492" s="11"/>
      <c r="F492" s="11"/>
    </row>
    <row r="493" ht="15.75" customHeight="1">
      <c r="B493" s="11"/>
      <c r="F493" s="11"/>
    </row>
    <row r="494" ht="15.75" customHeight="1">
      <c r="B494" s="11"/>
      <c r="F494" s="11"/>
    </row>
    <row r="495" ht="15.75" customHeight="1">
      <c r="B495" s="11"/>
      <c r="F495" s="11"/>
    </row>
    <row r="496" ht="15.75" customHeight="1">
      <c r="B496" s="11"/>
      <c r="F496" s="11"/>
    </row>
    <row r="497" ht="15.75" customHeight="1">
      <c r="B497" s="11"/>
      <c r="F497" s="11"/>
    </row>
    <row r="498" ht="15.75" customHeight="1">
      <c r="B498" s="11"/>
      <c r="F498" s="11"/>
    </row>
    <row r="499" ht="15.75" customHeight="1">
      <c r="B499" s="11"/>
      <c r="F499" s="11"/>
    </row>
    <row r="500" ht="15.75" customHeight="1">
      <c r="B500" s="11"/>
      <c r="F500" s="11"/>
    </row>
    <row r="501" ht="15.75" customHeight="1">
      <c r="B501" s="11"/>
      <c r="F501" s="11"/>
    </row>
    <row r="502" ht="15.75" customHeight="1">
      <c r="B502" s="11"/>
      <c r="F502" s="11"/>
    </row>
    <row r="503" ht="15.75" customHeight="1">
      <c r="B503" s="11"/>
      <c r="F503" s="11"/>
    </row>
    <row r="504" ht="15.75" customHeight="1">
      <c r="B504" s="11"/>
      <c r="F504" s="11"/>
    </row>
    <row r="505" ht="15.75" customHeight="1">
      <c r="B505" s="11"/>
      <c r="F505" s="11"/>
    </row>
    <row r="506" ht="15.75" customHeight="1">
      <c r="B506" s="11"/>
      <c r="F506" s="11"/>
    </row>
    <row r="507" ht="15.75" customHeight="1">
      <c r="B507" s="11"/>
      <c r="F507" s="11"/>
    </row>
    <row r="508" ht="15.75" customHeight="1">
      <c r="B508" s="11"/>
      <c r="F508" s="11"/>
    </row>
    <row r="509" ht="15.75" customHeight="1">
      <c r="B509" s="11"/>
      <c r="F509" s="11"/>
    </row>
    <row r="510" ht="15.75" customHeight="1">
      <c r="B510" s="11"/>
      <c r="F510" s="11"/>
    </row>
    <row r="511" ht="15.75" customHeight="1">
      <c r="B511" s="11"/>
      <c r="F511" s="11"/>
    </row>
    <row r="512" ht="15.75" customHeight="1">
      <c r="B512" s="11"/>
      <c r="F512" s="11"/>
    </row>
    <row r="513" ht="15.75" customHeight="1">
      <c r="B513" s="11"/>
      <c r="F513" s="11"/>
    </row>
    <row r="514" ht="15.75" customHeight="1">
      <c r="B514" s="11"/>
      <c r="F514" s="11"/>
    </row>
    <row r="515" ht="15.75" customHeight="1">
      <c r="B515" s="11"/>
      <c r="F515" s="11"/>
    </row>
    <row r="516" ht="15.75" customHeight="1">
      <c r="B516" s="11"/>
      <c r="F516" s="11"/>
    </row>
    <row r="517" ht="15.75" customHeight="1">
      <c r="B517" s="11"/>
      <c r="F517" s="11"/>
    </row>
    <row r="518" ht="15.75" customHeight="1">
      <c r="B518" s="11"/>
      <c r="F518" s="11"/>
    </row>
    <row r="519" ht="15.75" customHeight="1">
      <c r="B519" s="11"/>
      <c r="F519" s="11"/>
    </row>
    <row r="520" ht="15.75" customHeight="1">
      <c r="B520" s="11"/>
      <c r="F520" s="11"/>
    </row>
    <row r="521" ht="15.75" customHeight="1">
      <c r="B521" s="11"/>
      <c r="F521" s="11"/>
    </row>
    <row r="522" ht="15.75" customHeight="1">
      <c r="B522" s="11"/>
      <c r="F522" s="11"/>
    </row>
    <row r="523" ht="15.75" customHeight="1">
      <c r="B523" s="11"/>
      <c r="F523" s="11"/>
    </row>
    <row r="524" ht="15.75" customHeight="1">
      <c r="B524" s="11"/>
      <c r="F524" s="11"/>
    </row>
    <row r="525" ht="15.75" customHeight="1">
      <c r="B525" s="11"/>
      <c r="F525" s="11"/>
    </row>
    <row r="526" ht="15.75" customHeight="1">
      <c r="B526" s="11"/>
      <c r="F526" s="11"/>
    </row>
    <row r="527" ht="15.75" customHeight="1">
      <c r="B527" s="11"/>
      <c r="F527" s="11"/>
    </row>
    <row r="528" ht="15.75" customHeight="1">
      <c r="B528" s="11"/>
      <c r="F528" s="11"/>
    </row>
    <row r="529" ht="15.75" customHeight="1">
      <c r="B529" s="11"/>
      <c r="F529" s="11"/>
    </row>
    <row r="530" ht="15.75" customHeight="1">
      <c r="B530" s="11"/>
      <c r="F530" s="11"/>
    </row>
    <row r="531" ht="15.75" customHeight="1">
      <c r="B531" s="11"/>
      <c r="F531" s="11"/>
    </row>
    <row r="532" ht="15.75" customHeight="1">
      <c r="B532" s="11"/>
      <c r="F532" s="11"/>
    </row>
    <row r="533" ht="15.75" customHeight="1">
      <c r="B533" s="11"/>
      <c r="F533" s="11"/>
    </row>
    <row r="534" ht="15.75" customHeight="1">
      <c r="B534" s="11"/>
      <c r="F534" s="11"/>
    </row>
    <row r="535" ht="15.75" customHeight="1">
      <c r="B535" s="11"/>
      <c r="F535" s="11"/>
    </row>
    <row r="536" ht="15.75" customHeight="1">
      <c r="B536" s="11"/>
      <c r="F536" s="11"/>
    </row>
    <row r="537" ht="15.75" customHeight="1">
      <c r="B537" s="11"/>
      <c r="F537" s="11"/>
    </row>
    <row r="538" ht="15.75" customHeight="1">
      <c r="B538" s="11"/>
      <c r="F538" s="11"/>
    </row>
    <row r="539" ht="15.75" customHeight="1">
      <c r="B539" s="11"/>
      <c r="F539" s="11"/>
    </row>
    <row r="540" ht="15.75" customHeight="1">
      <c r="B540" s="11"/>
      <c r="F540" s="11"/>
    </row>
    <row r="541" ht="15.75" customHeight="1">
      <c r="B541" s="11"/>
      <c r="F541" s="11"/>
    </row>
    <row r="542" ht="15.75" customHeight="1">
      <c r="B542" s="11"/>
      <c r="F542" s="11"/>
    </row>
    <row r="543" ht="15.75" customHeight="1">
      <c r="B543" s="11"/>
      <c r="F543" s="11"/>
    </row>
    <row r="544" ht="15.75" customHeight="1">
      <c r="B544" s="11"/>
      <c r="F544" s="11"/>
    </row>
    <row r="545" ht="15.75" customHeight="1">
      <c r="B545" s="11"/>
      <c r="F545" s="11"/>
    </row>
    <row r="546" ht="15.75" customHeight="1">
      <c r="B546" s="11"/>
      <c r="F546" s="11"/>
    </row>
    <row r="547" ht="15.75" customHeight="1">
      <c r="B547" s="11"/>
      <c r="F547" s="11"/>
    </row>
    <row r="548" ht="15.75" customHeight="1">
      <c r="B548" s="11"/>
      <c r="F548" s="11"/>
    </row>
    <row r="549" ht="15.75" customHeight="1">
      <c r="B549" s="11"/>
      <c r="F549" s="11"/>
    </row>
    <row r="550" ht="15.75" customHeight="1">
      <c r="B550" s="11"/>
      <c r="F550" s="11"/>
    </row>
    <row r="551" ht="15.75" customHeight="1">
      <c r="B551" s="11"/>
      <c r="F551" s="11"/>
    </row>
    <row r="552" ht="15.75" customHeight="1">
      <c r="B552" s="11"/>
      <c r="F552" s="11"/>
    </row>
    <row r="553" ht="15.75" customHeight="1">
      <c r="B553" s="11"/>
      <c r="F553" s="11"/>
    </row>
    <row r="554" ht="15.75" customHeight="1">
      <c r="B554" s="11"/>
      <c r="F554" s="11"/>
    </row>
    <row r="555" ht="15.75" customHeight="1">
      <c r="B555" s="11"/>
      <c r="F555" s="11"/>
    </row>
    <row r="556" ht="15.75" customHeight="1">
      <c r="B556" s="11"/>
      <c r="F556" s="11"/>
    </row>
    <row r="557" ht="15.75" customHeight="1">
      <c r="B557" s="11"/>
      <c r="F557" s="11"/>
    </row>
    <row r="558" ht="15.75" customHeight="1">
      <c r="B558" s="11"/>
      <c r="F558" s="11"/>
    </row>
    <row r="559" ht="15.75" customHeight="1">
      <c r="B559" s="11"/>
      <c r="F559" s="11"/>
    </row>
    <row r="560" ht="15.75" customHeight="1">
      <c r="B560" s="11"/>
      <c r="F560" s="11"/>
    </row>
    <row r="561" ht="15.75" customHeight="1">
      <c r="B561" s="11"/>
      <c r="F561" s="11"/>
    </row>
    <row r="562" ht="15.75" customHeight="1">
      <c r="B562" s="11"/>
      <c r="F562" s="11"/>
    </row>
    <row r="563" ht="15.75" customHeight="1">
      <c r="B563" s="11"/>
      <c r="F563" s="11"/>
    </row>
    <row r="564" ht="15.75" customHeight="1">
      <c r="B564" s="11"/>
      <c r="F564" s="11"/>
    </row>
    <row r="565" ht="15.75" customHeight="1">
      <c r="B565" s="11"/>
      <c r="F565" s="11"/>
    </row>
    <row r="566" ht="15.75" customHeight="1">
      <c r="B566" s="11"/>
      <c r="F566" s="11"/>
    </row>
    <row r="567" ht="15.75" customHeight="1">
      <c r="B567" s="11"/>
      <c r="F567" s="11"/>
    </row>
    <row r="568" ht="15.75" customHeight="1">
      <c r="B568" s="11"/>
      <c r="F568" s="11"/>
    </row>
    <row r="569" ht="15.75" customHeight="1">
      <c r="B569" s="11"/>
      <c r="F569" s="11"/>
    </row>
    <row r="570" ht="15.75" customHeight="1">
      <c r="B570" s="11"/>
      <c r="F570" s="11"/>
    </row>
    <row r="571" ht="15.75" customHeight="1">
      <c r="B571" s="11"/>
      <c r="F571" s="11"/>
    </row>
    <row r="572" ht="15.75" customHeight="1">
      <c r="B572" s="11"/>
      <c r="F572" s="11"/>
    </row>
    <row r="573" ht="15.75" customHeight="1">
      <c r="B573" s="11"/>
      <c r="F573" s="11"/>
    </row>
    <row r="574" ht="15.75" customHeight="1">
      <c r="B574" s="11"/>
      <c r="F574" s="11"/>
    </row>
    <row r="575" ht="15.75" customHeight="1">
      <c r="B575" s="11"/>
      <c r="F575" s="11"/>
    </row>
    <row r="576" ht="15.75" customHeight="1">
      <c r="B576" s="11"/>
      <c r="F576" s="11"/>
    </row>
    <row r="577" ht="15.75" customHeight="1">
      <c r="B577" s="11"/>
      <c r="F577" s="11"/>
    </row>
    <row r="578" ht="15.75" customHeight="1">
      <c r="B578" s="11"/>
      <c r="F578" s="11"/>
    </row>
    <row r="579" ht="15.75" customHeight="1">
      <c r="B579" s="11"/>
      <c r="F579" s="11"/>
    </row>
    <row r="580" ht="15.75" customHeight="1">
      <c r="B580" s="11"/>
      <c r="F580" s="11"/>
    </row>
    <row r="581" ht="15.75" customHeight="1">
      <c r="B581" s="11"/>
      <c r="F581" s="11"/>
    </row>
    <row r="582" ht="15.75" customHeight="1">
      <c r="B582" s="11"/>
      <c r="F582" s="11"/>
    </row>
    <row r="583" ht="15.75" customHeight="1">
      <c r="B583" s="11"/>
      <c r="F583" s="11"/>
    </row>
    <row r="584" ht="15.75" customHeight="1">
      <c r="B584" s="11"/>
      <c r="F584" s="11"/>
    </row>
    <row r="585" ht="15.75" customHeight="1">
      <c r="B585" s="11"/>
      <c r="F585" s="11"/>
    </row>
    <row r="586" ht="15.75" customHeight="1">
      <c r="B586" s="11"/>
      <c r="F586" s="11"/>
    </row>
    <row r="587" ht="15.75" customHeight="1">
      <c r="B587" s="11"/>
      <c r="F587" s="11"/>
    </row>
    <row r="588" ht="15.75" customHeight="1">
      <c r="B588" s="11"/>
      <c r="F588" s="11"/>
    </row>
    <row r="589" ht="15.75" customHeight="1">
      <c r="B589" s="11"/>
      <c r="F589" s="11"/>
    </row>
    <row r="590" ht="15.75" customHeight="1">
      <c r="B590" s="11"/>
      <c r="F590" s="11"/>
    </row>
    <row r="591" ht="15.75" customHeight="1">
      <c r="B591" s="11"/>
      <c r="F591" s="11"/>
    </row>
    <row r="592" ht="15.75" customHeight="1">
      <c r="B592" s="11"/>
      <c r="F592" s="11"/>
    </row>
    <row r="593" ht="15.75" customHeight="1">
      <c r="B593" s="11"/>
      <c r="F593" s="11"/>
    </row>
    <row r="594" ht="15.75" customHeight="1">
      <c r="B594" s="11"/>
      <c r="F594" s="11"/>
    </row>
    <row r="595" ht="15.75" customHeight="1">
      <c r="B595" s="11"/>
      <c r="F595" s="11"/>
    </row>
    <row r="596" ht="15.75" customHeight="1">
      <c r="B596" s="11"/>
      <c r="F596" s="11"/>
    </row>
    <row r="597" ht="15.75" customHeight="1">
      <c r="B597" s="11"/>
      <c r="F597" s="11"/>
    </row>
    <row r="598" ht="15.75" customHeight="1">
      <c r="B598" s="11"/>
      <c r="F598" s="11"/>
    </row>
    <row r="599" ht="15.75" customHeight="1">
      <c r="B599" s="11"/>
      <c r="F599" s="11"/>
    </row>
    <row r="600" ht="15.75" customHeight="1">
      <c r="B600" s="11"/>
      <c r="F600" s="11"/>
    </row>
    <row r="601" ht="15.75" customHeight="1">
      <c r="B601" s="11"/>
      <c r="F601" s="11"/>
    </row>
    <row r="602" ht="15.75" customHeight="1">
      <c r="B602" s="11"/>
      <c r="F602" s="11"/>
    </row>
    <row r="603" ht="15.75" customHeight="1">
      <c r="B603" s="11"/>
      <c r="F603" s="11"/>
    </row>
    <row r="604" ht="15.75" customHeight="1">
      <c r="B604" s="11"/>
      <c r="F604" s="11"/>
    </row>
    <row r="605" ht="15.75" customHeight="1">
      <c r="B605" s="11"/>
      <c r="F605" s="11"/>
    </row>
    <row r="606" ht="15.75" customHeight="1">
      <c r="B606" s="11"/>
      <c r="F606" s="11"/>
    </row>
    <row r="607" ht="15.75" customHeight="1">
      <c r="B607" s="11"/>
      <c r="F607" s="11"/>
    </row>
    <row r="608" ht="15.75" customHeight="1">
      <c r="B608" s="11"/>
      <c r="F608" s="11"/>
    </row>
    <row r="609" ht="15.75" customHeight="1">
      <c r="B609" s="11"/>
      <c r="F609" s="11"/>
    </row>
    <row r="610" ht="15.75" customHeight="1">
      <c r="B610" s="11"/>
      <c r="F610" s="11"/>
    </row>
    <row r="611" ht="15.75" customHeight="1">
      <c r="B611" s="11"/>
      <c r="F611" s="11"/>
    </row>
    <row r="612" ht="15.75" customHeight="1">
      <c r="B612" s="11"/>
      <c r="F612" s="11"/>
    </row>
    <row r="613" ht="15.75" customHeight="1">
      <c r="B613" s="11"/>
      <c r="F613" s="11"/>
    </row>
    <row r="614" ht="15.75" customHeight="1">
      <c r="B614" s="11"/>
      <c r="F614" s="11"/>
    </row>
    <row r="615" ht="15.75" customHeight="1">
      <c r="B615" s="11"/>
      <c r="F615" s="11"/>
    </row>
    <row r="616" ht="15.75" customHeight="1">
      <c r="B616" s="11"/>
      <c r="F616" s="11"/>
    </row>
    <row r="617" ht="15.75" customHeight="1">
      <c r="B617" s="11"/>
      <c r="F617" s="11"/>
    </row>
    <row r="618" ht="15.75" customHeight="1">
      <c r="B618" s="11"/>
      <c r="F618" s="11"/>
    </row>
    <row r="619" ht="15.75" customHeight="1">
      <c r="B619" s="11"/>
      <c r="F619" s="11"/>
    </row>
    <row r="620" ht="15.75" customHeight="1">
      <c r="B620" s="11"/>
      <c r="F620" s="11"/>
    </row>
    <row r="621" ht="15.75" customHeight="1">
      <c r="B621" s="11"/>
      <c r="F621" s="11"/>
    </row>
    <row r="622" ht="15.75" customHeight="1">
      <c r="B622" s="11"/>
      <c r="F622" s="11"/>
    </row>
    <row r="623" ht="15.75" customHeight="1">
      <c r="B623" s="11"/>
      <c r="F623" s="11"/>
    </row>
    <row r="624" ht="15.75" customHeight="1">
      <c r="B624" s="11"/>
      <c r="F624" s="11"/>
    </row>
    <row r="625" ht="15.75" customHeight="1">
      <c r="B625" s="11"/>
      <c r="F625" s="11"/>
    </row>
    <row r="626" ht="15.75" customHeight="1">
      <c r="B626" s="11"/>
      <c r="F626" s="11"/>
    </row>
    <row r="627" ht="15.75" customHeight="1">
      <c r="B627" s="11"/>
      <c r="F627" s="11"/>
    </row>
    <row r="628" ht="15.75" customHeight="1">
      <c r="B628" s="11"/>
      <c r="F628" s="11"/>
    </row>
    <row r="629" ht="15.75" customHeight="1">
      <c r="B629" s="11"/>
      <c r="F629" s="11"/>
    </row>
    <row r="630" ht="15.75" customHeight="1">
      <c r="B630" s="11"/>
      <c r="F630" s="11"/>
    </row>
    <row r="631" ht="15.75" customHeight="1">
      <c r="B631" s="11"/>
      <c r="F631" s="11"/>
    </row>
    <row r="632" ht="15.75" customHeight="1">
      <c r="B632" s="11"/>
      <c r="F632" s="11"/>
    </row>
    <row r="633" ht="15.75" customHeight="1">
      <c r="B633" s="11"/>
      <c r="F633" s="11"/>
    </row>
    <row r="634" ht="15.75" customHeight="1">
      <c r="B634" s="11"/>
      <c r="F634" s="11"/>
    </row>
    <row r="635" ht="15.75" customHeight="1">
      <c r="B635" s="11"/>
      <c r="F635" s="11"/>
    </row>
    <row r="636" ht="15.75" customHeight="1">
      <c r="B636" s="11"/>
      <c r="F636" s="11"/>
    </row>
    <row r="637" ht="15.75" customHeight="1">
      <c r="B637" s="11"/>
      <c r="F637" s="11"/>
    </row>
    <row r="638" ht="15.75" customHeight="1">
      <c r="B638" s="11"/>
      <c r="F638" s="11"/>
    </row>
    <row r="639" ht="15.75" customHeight="1">
      <c r="B639" s="11"/>
      <c r="F639" s="11"/>
    </row>
    <row r="640" ht="15.75" customHeight="1">
      <c r="B640" s="11"/>
      <c r="F640" s="11"/>
    </row>
    <row r="641" ht="15.75" customHeight="1">
      <c r="B641" s="11"/>
      <c r="F641" s="11"/>
    </row>
    <row r="642" ht="15.75" customHeight="1">
      <c r="B642" s="11"/>
      <c r="F642" s="11"/>
    </row>
    <row r="643" ht="15.75" customHeight="1">
      <c r="B643" s="11"/>
      <c r="F643" s="11"/>
    </row>
    <row r="644" ht="15.75" customHeight="1">
      <c r="B644" s="11"/>
      <c r="F644" s="11"/>
    </row>
    <row r="645" ht="15.75" customHeight="1">
      <c r="B645" s="11"/>
      <c r="F645" s="11"/>
    </row>
    <row r="646" ht="15.75" customHeight="1">
      <c r="B646" s="11"/>
      <c r="F646" s="11"/>
    </row>
    <row r="647" ht="15.75" customHeight="1">
      <c r="B647" s="11"/>
      <c r="F647" s="11"/>
    </row>
    <row r="648" ht="15.75" customHeight="1">
      <c r="B648" s="11"/>
      <c r="F648" s="11"/>
    </row>
    <row r="649" ht="15.75" customHeight="1">
      <c r="B649" s="11"/>
      <c r="F649" s="11"/>
    </row>
    <row r="650" ht="15.75" customHeight="1">
      <c r="B650" s="11"/>
      <c r="F650" s="11"/>
    </row>
    <row r="651" ht="15.75" customHeight="1">
      <c r="B651" s="11"/>
      <c r="F651" s="11"/>
    </row>
    <row r="652" ht="15.75" customHeight="1">
      <c r="B652" s="11"/>
      <c r="F652" s="11"/>
    </row>
    <row r="653" ht="15.75" customHeight="1">
      <c r="B653" s="11"/>
      <c r="F653" s="11"/>
    </row>
    <row r="654" ht="15.75" customHeight="1">
      <c r="B654" s="11"/>
      <c r="F654" s="11"/>
    </row>
    <row r="655" ht="15.75" customHeight="1">
      <c r="B655" s="11"/>
      <c r="F655" s="11"/>
    </row>
    <row r="656" ht="15.75" customHeight="1">
      <c r="B656" s="11"/>
      <c r="F656" s="11"/>
    </row>
    <row r="657" ht="15.75" customHeight="1">
      <c r="B657" s="11"/>
      <c r="F657" s="11"/>
    </row>
    <row r="658" ht="15.75" customHeight="1">
      <c r="B658" s="11"/>
      <c r="F658" s="11"/>
    </row>
    <row r="659" ht="15.75" customHeight="1">
      <c r="B659" s="11"/>
      <c r="F659" s="11"/>
    </row>
    <row r="660" ht="15.75" customHeight="1">
      <c r="B660" s="11"/>
      <c r="F660" s="11"/>
    </row>
    <row r="661" ht="15.75" customHeight="1">
      <c r="B661" s="11"/>
      <c r="F661" s="11"/>
    </row>
    <row r="662" ht="15.75" customHeight="1">
      <c r="B662" s="11"/>
      <c r="F662" s="11"/>
    </row>
    <row r="663" ht="15.75" customHeight="1">
      <c r="B663" s="11"/>
      <c r="F663" s="11"/>
    </row>
    <row r="664" ht="15.75" customHeight="1">
      <c r="B664" s="11"/>
      <c r="F664" s="11"/>
    </row>
    <row r="665" ht="15.75" customHeight="1">
      <c r="B665" s="11"/>
      <c r="F665" s="11"/>
    </row>
    <row r="666" ht="15.75" customHeight="1">
      <c r="B666" s="11"/>
      <c r="F666" s="11"/>
    </row>
    <row r="667" ht="15.75" customHeight="1">
      <c r="B667" s="11"/>
      <c r="F667" s="11"/>
    </row>
    <row r="668" ht="15.75" customHeight="1">
      <c r="B668" s="11"/>
      <c r="F668" s="11"/>
    </row>
    <row r="669" ht="15.75" customHeight="1">
      <c r="B669" s="11"/>
      <c r="F669" s="11"/>
    </row>
    <row r="670" ht="15.75" customHeight="1">
      <c r="B670" s="11"/>
      <c r="F670" s="11"/>
    </row>
    <row r="671" ht="15.75" customHeight="1">
      <c r="B671" s="11"/>
      <c r="F671" s="11"/>
    </row>
    <row r="672" ht="15.75" customHeight="1">
      <c r="B672" s="11"/>
      <c r="F672" s="11"/>
    </row>
    <row r="673" ht="15.75" customHeight="1">
      <c r="B673" s="11"/>
      <c r="F673" s="11"/>
    </row>
    <row r="674" ht="15.75" customHeight="1">
      <c r="B674" s="11"/>
      <c r="F674" s="11"/>
    </row>
    <row r="675" ht="15.75" customHeight="1">
      <c r="B675" s="11"/>
      <c r="F675" s="11"/>
    </row>
    <row r="676" ht="15.75" customHeight="1">
      <c r="B676" s="11"/>
      <c r="F676" s="11"/>
    </row>
    <row r="677" ht="15.75" customHeight="1">
      <c r="B677" s="11"/>
      <c r="F677" s="11"/>
    </row>
    <row r="678" ht="15.75" customHeight="1">
      <c r="B678" s="11"/>
      <c r="F678" s="11"/>
    </row>
    <row r="679" ht="15.75" customHeight="1">
      <c r="B679" s="11"/>
      <c r="F679" s="11"/>
    </row>
    <row r="680" ht="15.75" customHeight="1">
      <c r="B680" s="11"/>
      <c r="F680" s="11"/>
    </row>
    <row r="681" ht="15.75" customHeight="1">
      <c r="B681" s="11"/>
      <c r="F681" s="11"/>
    </row>
    <row r="682" ht="15.75" customHeight="1">
      <c r="B682" s="11"/>
      <c r="F682" s="11"/>
    </row>
    <row r="683" ht="15.75" customHeight="1">
      <c r="B683" s="11"/>
      <c r="F683" s="11"/>
    </row>
    <row r="684" ht="15.75" customHeight="1">
      <c r="B684" s="11"/>
      <c r="F684" s="11"/>
    </row>
    <row r="685" ht="15.75" customHeight="1">
      <c r="B685" s="11"/>
      <c r="F685" s="11"/>
    </row>
    <row r="686" ht="15.75" customHeight="1">
      <c r="B686" s="11"/>
      <c r="F686" s="11"/>
    </row>
    <row r="687" ht="15.75" customHeight="1">
      <c r="B687" s="11"/>
      <c r="F687" s="11"/>
    </row>
    <row r="688" ht="15.75" customHeight="1">
      <c r="B688" s="11"/>
      <c r="F688" s="11"/>
    </row>
    <row r="689" ht="15.75" customHeight="1">
      <c r="B689" s="11"/>
      <c r="F689" s="11"/>
    </row>
    <row r="690" ht="15.75" customHeight="1">
      <c r="B690" s="11"/>
      <c r="F690" s="11"/>
    </row>
    <row r="691" ht="15.75" customHeight="1">
      <c r="B691" s="11"/>
      <c r="F691" s="11"/>
    </row>
    <row r="692" ht="15.75" customHeight="1">
      <c r="B692" s="11"/>
      <c r="F692" s="11"/>
    </row>
    <row r="693" ht="15.75" customHeight="1">
      <c r="B693" s="11"/>
      <c r="F693" s="11"/>
    </row>
    <row r="694" ht="15.75" customHeight="1">
      <c r="B694" s="11"/>
      <c r="F694" s="11"/>
    </row>
    <row r="695" ht="15.75" customHeight="1">
      <c r="B695" s="11"/>
      <c r="F695" s="11"/>
    </row>
    <row r="696" ht="15.75" customHeight="1">
      <c r="B696" s="11"/>
      <c r="F696" s="11"/>
    </row>
    <row r="697" ht="15.75" customHeight="1">
      <c r="B697" s="11"/>
      <c r="F697" s="11"/>
    </row>
    <row r="698" ht="15.75" customHeight="1">
      <c r="B698" s="11"/>
      <c r="F698" s="11"/>
    </row>
    <row r="699" ht="15.75" customHeight="1">
      <c r="B699" s="11"/>
      <c r="F699" s="11"/>
    </row>
    <row r="700" ht="15.75" customHeight="1">
      <c r="B700" s="11"/>
      <c r="F700" s="11"/>
    </row>
    <row r="701" ht="15.75" customHeight="1">
      <c r="B701" s="11"/>
      <c r="F701" s="11"/>
    </row>
    <row r="702" ht="15.75" customHeight="1">
      <c r="B702" s="11"/>
      <c r="F702" s="11"/>
    </row>
    <row r="703" ht="15.75" customHeight="1">
      <c r="B703" s="11"/>
      <c r="F703" s="11"/>
    </row>
    <row r="704" ht="15.75" customHeight="1">
      <c r="B704" s="11"/>
      <c r="F704" s="11"/>
    </row>
    <row r="705" ht="15.75" customHeight="1">
      <c r="B705" s="11"/>
      <c r="F705" s="11"/>
    </row>
    <row r="706" ht="15.75" customHeight="1">
      <c r="B706" s="11"/>
      <c r="F706" s="11"/>
    </row>
    <row r="707" ht="15.75" customHeight="1">
      <c r="B707" s="11"/>
      <c r="F707" s="11"/>
    </row>
    <row r="708" ht="15.75" customHeight="1">
      <c r="B708" s="11"/>
      <c r="F708" s="11"/>
    </row>
    <row r="709" ht="15.75" customHeight="1">
      <c r="B709" s="11"/>
      <c r="F709" s="11"/>
    </row>
    <row r="710" ht="15.75" customHeight="1">
      <c r="B710" s="11"/>
      <c r="F710" s="11"/>
    </row>
    <row r="711" ht="15.75" customHeight="1">
      <c r="B711" s="11"/>
      <c r="F711" s="11"/>
    </row>
    <row r="712" ht="15.75" customHeight="1">
      <c r="B712" s="11"/>
      <c r="F712" s="11"/>
    </row>
    <row r="713" ht="15.75" customHeight="1">
      <c r="B713" s="11"/>
      <c r="F713" s="11"/>
    </row>
    <row r="714" ht="15.75" customHeight="1">
      <c r="B714" s="11"/>
      <c r="F714" s="11"/>
    </row>
    <row r="715" ht="15.75" customHeight="1">
      <c r="B715" s="11"/>
      <c r="F715" s="11"/>
    </row>
    <row r="716" ht="15.75" customHeight="1">
      <c r="B716" s="11"/>
      <c r="F716" s="11"/>
    </row>
    <row r="717" ht="15.75" customHeight="1">
      <c r="B717" s="11"/>
      <c r="F717" s="11"/>
    </row>
    <row r="718" ht="15.75" customHeight="1">
      <c r="B718" s="11"/>
      <c r="F718" s="11"/>
    </row>
    <row r="719" ht="15.75" customHeight="1">
      <c r="B719" s="11"/>
      <c r="F719" s="11"/>
    </row>
    <row r="720" ht="15.75" customHeight="1">
      <c r="B720" s="11"/>
      <c r="F720" s="11"/>
    </row>
    <row r="721" ht="15.75" customHeight="1">
      <c r="B721" s="11"/>
      <c r="F721" s="11"/>
    </row>
    <row r="722" ht="15.75" customHeight="1">
      <c r="B722" s="11"/>
      <c r="F722" s="11"/>
    </row>
    <row r="723" ht="15.75" customHeight="1">
      <c r="B723" s="11"/>
      <c r="F723" s="11"/>
    </row>
    <row r="724" ht="15.75" customHeight="1">
      <c r="B724" s="11"/>
      <c r="F724" s="11"/>
    </row>
    <row r="725" ht="15.75" customHeight="1">
      <c r="B725" s="11"/>
      <c r="F725" s="11"/>
    </row>
    <row r="726" ht="15.75" customHeight="1">
      <c r="B726" s="11"/>
      <c r="F726" s="11"/>
    </row>
    <row r="727" ht="15.75" customHeight="1">
      <c r="B727" s="11"/>
      <c r="F727" s="11"/>
    </row>
    <row r="728" ht="15.75" customHeight="1">
      <c r="B728" s="11"/>
      <c r="F728" s="11"/>
    </row>
    <row r="729" ht="15.75" customHeight="1">
      <c r="B729" s="11"/>
      <c r="F729" s="11"/>
    </row>
    <row r="730" ht="15.75" customHeight="1">
      <c r="B730" s="11"/>
      <c r="F730" s="11"/>
    </row>
    <row r="731" ht="15.75" customHeight="1">
      <c r="B731" s="11"/>
      <c r="F731" s="11"/>
    </row>
    <row r="732" ht="15.75" customHeight="1">
      <c r="B732" s="11"/>
      <c r="F732" s="11"/>
    </row>
    <row r="733" ht="15.75" customHeight="1">
      <c r="B733" s="11"/>
      <c r="F733" s="11"/>
    </row>
    <row r="734" ht="15.75" customHeight="1">
      <c r="B734" s="11"/>
      <c r="F734" s="11"/>
    </row>
    <row r="735" ht="15.75" customHeight="1">
      <c r="B735" s="11"/>
      <c r="F735" s="11"/>
    </row>
    <row r="736" ht="15.75" customHeight="1">
      <c r="B736" s="11"/>
      <c r="F736" s="11"/>
    </row>
    <row r="737" ht="15.75" customHeight="1">
      <c r="B737" s="11"/>
      <c r="F737" s="11"/>
    </row>
    <row r="738" ht="15.75" customHeight="1">
      <c r="B738" s="11"/>
      <c r="F738" s="11"/>
    </row>
    <row r="739" ht="15.75" customHeight="1">
      <c r="B739" s="11"/>
      <c r="F739" s="11"/>
    </row>
    <row r="740" ht="15.75" customHeight="1">
      <c r="B740" s="11"/>
      <c r="F740" s="11"/>
    </row>
    <row r="741" ht="15.75" customHeight="1">
      <c r="B741" s="11"/>
      <c r="F741" s="11"/>
    </row>
    <row r="742" ht="15.75" customHeight="1">
      <c r="B742" s="11"/>
      <c r="F742" s="11"/>
    </row>
    <row r="743" ht="15.75" customHeight="1">
      <c r="B743" s="11"/>
      <c r="F743" s="11"/>
    </row>
    <row r="744" ht="15.75" customHeight="1">
      <c r="B744" s="11"/>
      <c r="F744" s="11"/>
    </row>
    <row r="745" ht="15.75" customHeight="1">
      <c r="B745" s="11"/>
      <c r="F745" s="11"/>
    </row>
    <row r="746" ht="15.75" customHeight="1">
      <c r="B746" s="11"/>
      <c r="F746" s="11"/>
    </row>
    <row r="747" ht="15.75" customHeight="1">
      <c r="B747" s="11"/>
      <c r="F747" s="11"/>
    </row>
    <row r="748" ht="15.75" customHeight="1">
      <c r="B748" s="11"/>
      <c r="F748" s="11"/>
    </row>
    <row r="749" ht="15.75" customHeight="1">
      <c r="B749" s="11"/>
      <c r="F749" s="11"/>
    </row>
    <row r="750" ht="15.75" customHeight="1">
      <c r="B750" s="11"/>
      <c r="F750" s="11"/>
    </row>
    <row r="751" ht="15.75" customHeight="1">
      <c r="B751" s="11"/>
      <c r="F751" s="11"/>
    </row>
    <row r="752" ht="15.75" customHeight="1">
      <c r="B752" s="11"/>
      <c r="F752" s="11"/>
    </row>
    <row r="753" ht="15.75" customHeight="1">
      <c r="B753" s="11"/>
      <c r="F753" s="11"/>
    </row>
    <row r="754" ht="15.75" customHeight="1">
      <c r="B754" s="11"/>
      <c r="F754" s="11"/>
    </row>
    <row r="755" ht="15.75" customHeight="1">
      <c r="B755" s="11"/>
      <c r="F755" s="11"/>
    </row>
    <row r="756" ht="15.75" customHeight="1">
      <c r="B756" s="11"/>
      <c r="F756" s="11"/>
    </row>
    <row r="757" ht="15.75" customHeight="1">
      <c r="B757" s="11"/>
      <c r="F757" s="11"/>
    </row>
    <row r="758" ht="15.75" customHeight="1">
      <c r="B758" s="11"/>
      <c r="F758" s="11"/>
    </row>
    <row r="759" ht="15.75" customHeight="1">
      <c r="B759" s="11"/>
      <c r="F759" s="11"/>
    </row>
    <row r="760" ht="15.75" customHeight="1">
      <c r="B760" s="11"/>
      <c r="F760" s="11"/>
    </row>
    <row r="761" ht="15.75" customHeight="1">
      <c r="B761" s="11"/>
      <c r="F761" s="11"/>
    </row>
    <row r="762" ht="15.75" customHeight="1">
      <c r="B762" s="11"/>
      <c r="F762" s="11"/>
    </row>
    <row r="763" ht="15.75" customHeight="1">
      <c r="B763" s="11"/>
      <c r="F763" s="11"/>
    </row>
    <row r="764" ht="15.75" customHeight="1">
      <c r="B764" s="11"/>
      <c r="F764" s="11"/>
    </row>
    <row r="765" ht="15.75" customHeight="1">
      <c r="B765" s="11"/>
      <c r="F765" s="11"/>
    </row>
    <row r="766" ht="15.75" customHeight="1">
      <c r="B766" s="11"/>
      <c r="F766" s="11"/>
    </row>
    <row r="767" ht="15.75" customHeight="1">
      <c r="B767" s="11"/>
      <c r="F767" s="11"/>
    </row>
    <row r="768" ht="15.75" customHeight="1">
      <c r="B768" s="11"/>
      <c r="F768" s="11"/>
    </row>
    <row r="769" ht="15.75" customHeight="1">
      <c r="B769" s="11"/>
      <c r="F769" s="11"/>
    </row>
    <row r="770" ht="15.75" customHeight="1">
      <c r="B770" s="11"/>
      <c r="F770" s="11"/>
    </row>
    <row r="771" ht="15.75" customHeight="1">
      <c r="B771" s="11"/>
      <c r="F771" s="11"/>
    </row>
    <row r="772" ht="15.75" customHeight="1">
      <c r="B772" s="11"/>
      <c r="F772" s="11"/>
    </row>
    <row r="773" ht="15.75" customHeight="1">
      <c r="B773" s="11"/>
      <c r="F773" s="11"/>
    </row>
    <row r="774" ht="15.75" customHeight="1">
      <c r="B774" s="11"/>
      <c r="F774" s="11"/>
    </row>
    <row r="775" ht="15.75" customHeight="1">
      <c r="B775" s="11"/>
      <c r="F775" s="11"/>
    </row>
    <row r="776" ht="15.75" customHeight="1">
      <c r="B776" s="11"/>
      <c r="F776" s="11"/>
    </row>
    <row r="777" ht="15.75" customHeight="1">
      <c r="B777" s="11"/>
      <c r="F777" s="11"/>
    </row>
    <row r="778" ht="15.75" customHeight="1">
      <c r="B778" s="11"/>
      <c r="F778" s="11"/>
    </row>
    <row r="779" ht="15.75" customHeight="1">
      <c r="B779" s="11"/>
      <c r="F779" s="11"/>
    </row>
    <row r="780" ht="15.75" customHeight="1">
      <c r="B780" s="11"/>
      <c r="F780" s="11"/>
    </row>
    <row r="781" ht="15.75" customHeight="1">
      <c r="B781" s="11"/>
      <c r="F781" s="11"/>
    </row>
    <row r="782" ht="15.75" customHeight="1">
      <c r="B782" s="11"/>
      <c r="F782" s="11"/>
    </row>
    <row r="783" ht="15.75" customHeight="1">
      <c r="B783" s="11"/>
      <c r="F783" s="11"/>
    </row>
    <row r="784" ht="15.75" customHeight="1">
      <c r="B784" s="11"/>
      <c r="F784" s="11"/>
    </row>
    <row r="785" ht="15.75" customHeight="1">
      <c r="B785" s="11"/>
      <c r="F785" s="11"/>
    </row>
    <row r="786" ht="15.75" customHeight="1">
      <c r="B786" s="11"/>
      <c r="F786" s="11"/>
    </row>
    <row r="787" ht="15.75" customHeight="1">
      <c r="B787" s="11"/>
      <c r="F787" s="11"/>
    </row>
    <row r="788" ht="15.75" customHeight="1">
      <c r="B788" s="11"/>
      <c r="F788" s="11"/>
    </row>
    <row r="789" ht="15.75" customHeight="1">
      <c r="B789" s="11"/>
      <c r="F789" s="11"/>
    </row>
    <row r="790" ht="15.75" customHeight="1">
      <c r="B790" s="11"/>
      <c r="F790" s="11"/>
    </row>
    <row r="791" ht="15.75" customHeight="1">
      <c r="B791" s="11"/>
      <c r="F791" s="11"/>
    </row>
    <row r="792" ht="15.75" customHeight="1">
      <c r="B792" s="11"/>
      <c r="F792" s="11"/>
    </row>
    <row r="793" ht="15.75" customHeight="1">
      <c r="B793" s="11"/>
      <c r="F793" s="11"/>
    </row>
    <row r="794" ht="15.75" customHeight="1">
      <c r="B794" s="11"/>
      <c r="F794" s="11"/>
    </row>
    <row r="795" ht="15.75" customHeight="1">
      <c r="B795" s="11"/>
      <c r="F795" s="11"/>
    </row>
    <row r="796" ht="15.75" customHeight="1">
      <c r="B796" s="11"/>
      <c r="F796" s="11"/>
    </row>
    <row r="797" ht="15.75" customHeight="1">
      <c r="B797" s="11"/>
      <c r="F797" s="11"/>
    </row>
    <row r="798" ht="15.75" customHeight="1">
      <c r="B798" s="11"/>
      <c r="F798" s="11"/>
    </row>
    <row r="799" ht="15.75" customHeight="1">
      <c r="B799" s="11"/>
      <c r="F799" s="11"/>
    </row>
    <row r="800" ht="15.75" customHeight="1">
      <c r="B800" s="11"/>
      <c r="F800" s="11"/>
    </row>
    <row r="801" ht="15.75" customHeight="1">
      <c r="B801" s="11"/>
      <c r="F801" s="11"/>
    </row>
    <row r="802" ht="15.75" customHeight="1">
      <c r="B802" s="11"/>
      <c r="F802" s="11"/>
    </row>
    <row r="803" ht="15.75" customHeight="1">
      <c r="B803" s="11"/>
      <c r="F803" s="11"/>
    </row>
    <row r="804" ht="15.75" customHeight="1">
      <c r="B804" s="11"/>
      <c r="F804" s="11"/>
    </row>
    <row r="805" ht="15.75" customHeight="1">
      <c r="B805" s="11"/>
      <c r="F805" s="11"/>
    </row>
    <row r="806" ht="15.75" customHeight="1">
      <c r="B806" s="11"/>
      <c r="F806" s="11"/>
    </row>
    <row r="807" ht="15.75" customHeight="1">
      <c r="B807" s="11"/>
      <c r="F807" s="11"/>
    </row>
    <row r="808" ht="15.75" customHeight="1">
      <c r="B808" s="11"/>
      <c r="F808" s="11"/>
    </row>
    <row r="809" ht="15.75" customHeight="1">
      <c r="B809" s="11"/>
      <c r="F809" s="11"/>
    </row>
    <row r="810" ht="15.75" customHeight="1">
      <c r="B810" s="11"/>
      <c r="F810" s="11"/>
    </row>
    <row r="811" ht="15.75" customHeight="1">
      <c r="B811" s="11"/>
      <c r="F811" s="11"/>
    </row>
    <row r="812" ht="15.75" customHeight="1">
      <c r="B812" s="11"/>
      <c r="F812" s="11"/>
    </row>
    <row r="813" ht="15.75" customHeight="1">
      <c r="B813" s="11"/>
      <c r="F813" s="11"/>
    </row>
    <row r="814" ht="15.75" customHeight="1">
      <c r="B814" s="11"/>
      <c r="F814" s="11"/>
    </row>
    <row r="815" ht="15.75" customHeight="1">
      <c r="B815" s="11"/>
      <c r="F815" s="11"/>
    </row>
    <row r="816" ht="15.75" customHeight="1">
      <c r="B816" s="11"/>
      <c r="F816" s="11"/>
    </row>
    <row r="817" ht="15.75" customHeight="1">
      <c r="B817" s="11"/>
      <c r="F817" s="11"/>
    </row>
    <row r="818" ht="15.75" customHeight="1">
      <c r="B818" s="11"/>
      <c r="F818" s="11"/>
    </row>
    <row r="819" ht="15.75" customHeight="1">
      <c r="B819" s="11"/>
      <c r="F819" s="11"/>
    </row>
    <row r="820" ht="15.75" customHeight="1">
      <c r="B820" s="11"/>
      <c r="F820" s="11"/>
    </row>
    <row r="821" ht="15.75" customHeight="1">
      <c r="B821" s="11"/>
      <c r="F821" s="11"/>
    </row>
    <row r="822" ht="15.75" customHeight="1">
      <c r="B822" s="11"/>
      <c r="F822" s="11"/>
    </row>
    <row r="823" ht="15.75" customHeight="1">
      <c r="B823" s="11"/>
      <c r="F823" s="11"/>
    </row>
    <row r="824" ht="15.75" customHeight="1">
      <c r="B824" s="11"/>
      <c r="F824" s="11"/>
    </row>
    <row r="825" ht="15.75" customHeight="1">
      <c r="B825" s="11"/>
      <c r="F825" s="11"/>
    </row>
    <row r="826" ht="15.75" customHeight="1">
      <c r="B826" s="11"/>
      <c r="F826" s="11"/>
    </row>
    <row r="827" ht="15.75" customHeight="1">
      <c r="B827" s="11"/>
      <c r="F827" s="11"/>
    </row>
    <row r="828" ht="15.75" customHeight="1">
      <c r="B828" s="11"/>
      <c r="F828" s="11"/>
    </row>
    <row r="829" ht="15.75" customHeight="1">
      <c r="B829" s="11"/>
      <c r="F829" s="11"/>
    </row>
    <row r="830" ht="15.75" customHeight="1">
      <c r="B830" s="11"/>
      <c r="F830" s="11"/>
    </row>
    <row r="831" ht="15.75" customHeight="1">
      <c r="B831" s="11"/>
      <c r="F831" s="11"/>
    </row>
    <row r="832" ht="15.75" customHeight="1">
      <c r="B832" s="11"/>
      <c r="F832" s="11"/>
    </row>
    <row r="833" ht="15.75" customHeight="1">
      <c r="B833" s="11"/>
      <c r="F833" s="11"/>
    </row>
    <row r="834" ht="15.75" customHeight="1">
      <c r="B834" s="11"/>
      <c r="F834" s="11"/>
    </row>
    <row r="835" ht="15.75" customHeight="1">
      <c r="B835" s="11"/>
      <c r="F835" s="11"/>
    </row>
    <row r="836" ht="15.75" customHeight="1">
      <c r="B836" s="11"/>
      <c r="F836" s="11"/>
    </row>
    <row r="837" ht="15.75" customHeight="1">
      <c r="B837" s="11"/>
      <c r="F837" s="11"/>
    </row>
    <row r="838" ht="15.75" customHeight="1">
      <c r="B838" s="11"/>
      <c r="F838" s="11"/>
    </row>
    <row r="839" ht="15.75" customHeight="1">
      <c r="B839" s="11"/>
      <c r="F839" s="11"/>
    </row>
    <row r="840" ht="15.75" customHeight="1">
      <c r="B840" s="11"/>
      <c r="F840" s="11"/>
    </row>
    <row r="841" ht="15.75" customHeight="1">
      <c r="B841" s="11"/>
      <c r="F841" s="11"/>
    </row>
    <row r="842" ht="15.75" customHeight="1">
      <c r="B842" s="11"/>
      <c r="F842" s="11"/>
    </row>
    <row r="843" ht="15.75" customHeight="1">
      <c r="B843" s="11"/>
      <c r="F843" s="11"/>
    </row>
    <row r="844" ht="15.75" customHeight="1">
      <c r="B844" s="11"/>
      <c r="F844" s="11"/>
    </row>
    <row r="845" ht="15.75" customHeight="1">
      <c r="B845" s="11"/>
      <c r="F845" s="11"/>
    </row>
    <row r="846" ht="15.75" customHeight="1">
      <c r="B846" s="11"/>
      <c r="F846" s="11"/>
    </row>
    <row r="847" ht="15.75" customHeight="1">
      <c r="B847" s="11"/>
      <c r="F847" s="11"/>
    </row>
    <row r="848" ht="15.75" customHeight="1">
      <c r="B848" s="11"/>
      <c r="F848" s="11"/>
    </row>
    <row r="849" ht="15.75" customHeight="1">
      <c r="B849" s="11"/>
      <c r="F849" s="11"/>
    </row>
    <row r="850" ht="15.75" customHeight="1">
      <c r="B850" s="11"/>
      <c r="F850" s="11"/>
    </row>
    <row r="851" ht="15.75" customHeight="1">
      <c r="B851" s="11"/>
      <c r="F851" s="11"/>
    </row>
    <row r="852" ht="15.75" customHeight="1">
      <c r="B852" s="11"/>
      <c r="F852" s="11"/>
    </row>
    <row r="853" ht="15.75" customHeight="1">
      <c r="B853" s="11"/>
      <c r="F853" s="11"/>
    </row>
    <row r="854" ht="15.75" customHeight="1">
      <c r="B854" s="11"/>
      <c r="F854" s="11"/>
    </row>
    <row r="855" ht="15.75" customHeight="1">
      <c r="B855" s="11"/>
      <c r="F855" s="11"/>
    </row>
    <row r="856" ht="15.75" customHeight="1">
      <c r="B856" s="11"/>
      <c r="F856" s="11"/>
    </row>
    <row r="857" ht="15.75" customHeight="1">
      <c r="B857" s="11"/>
      <c r="F857" s="11"/>
    </row>
    <row r="858" ht="15.75" customHeight="1">
      <c r="B858" s="11"/>
      <c r="F858" s="11"/>
    </row>
    <row r="859" ht="15.75" customHeight="1">
      <c r="B859" s="11"/>
      <c r="F859" s="11"/>
    </row>
    <row r="860" ht="15.75" customHeight="1">
      <c r="B860" s="11"/>
      <c r="F860" s="11"/>
    </row>
    <row r="861" ht="15.75" customHeight="1">
      <c r="B861" s="11"/>
      <c r="F861" s="11"/>
    </row>
    <row r="862" ht="15.75" customHeight="1">
      <c r="B862" s="11"/>
      <c r="F862" s="11"/>
    </row>
    <row r="863" ht="15.75" customHeight="1">
      <c r="B863" s="11"/>
      <c r="F863" s="11"/>
    </row>
    <row r="864" ht="15.75" customHeight="1">
      <c r="B864" s="11"/>
      <c r="F864" s="11"/>
    </row>
    <row r="865" ht="15.75" customHeight="1">
      <c r="B865" s="11"/>
      <c r="F865" s="11"/>
    </row>
    <row r="866" ht="15.75" customHeight="1">
      <c r="B866" s="11"/>
      <c r="F866" s="11"/>
    </row>
    <row r="867" ht="15.75" customHeight="1">
      <c r="B867" s="11"/>
      <c r="F867" s="11"/>
    </row>
    <row r="868" ht="15.75" customHeight="1">
      <c r="B868" s="11"/>
      <c r="F868" s="11"/>
    </row>
    <row r="869" ht="15.75" customHeight="1">
      <c r="B869" s="11"/>
      <c r="F869" s="11"/>
    </row>
    <row r="870" ht="15.75" customHeight="1">
      <c r="B870" s="11"/>
      <c r="F870" s="11"/>
    </row>
    <row r="871" ht="15.75" customHeight="1">
      <c r="B871" s="11"/>
      <c r="F871" s="11"/>
    </row>
    <row r="872" ht="15.75" customHeight="1">
      <c r="B872" s="11"/>
      <c r="F872" s="11"/>
    </row>
    <row r="873" ht="15.75" customHeight="1">
      <c r="B873" s="11"/>
      <c r="F873" s="11"/>
    </row>
    <row r="874" ht="15.75" customHeight="1">
      <c r="B874" s="11"/>
      <c r="F874" s="11"/>
    </row>
    <row r="875" ht="15.75" customHeight="1">
      <c r="B875" s="11"/>
      <c r="F875" s="11"/>
    </row>
    <row r="876" ht="15.75" customHeight="1">
      <c r="B876" s="11"/>
      <c r="F876" s="11"/>
    </row>
    <row r="877" ht="15.75" customHeight="1">
      <c r="B877" s="11"/>
      <c r="F877" s="11"/>
    </row>
    <row r="878" ht="15.75" customHeight="1">
      <c r="B878" s="11"/>
      <c r="F878" s="11"/>
    </row>
    <row r="879" ht="15.75" customHeight="1">
      <c r="B879" s="11"/>
      <c r="F879" s="11"/>
    </row>
    <row r="880" ht="15.75" customHeight="1">
      <c r="B880" s="11"/>
      <c r="F880" s="11"/>
    </row>
    <row r="881" ht="15.75" customHeight="1">
      <c r="B881" s="11"/>
      <c r="F881" s="11"/>
    </row>
    <row r="882" ht="15.75" customHeight="1">
      <c r="B882" s="11"/>
      <c r="F882" s="11"/>
    </row>
    <row r="883" ht="15.75" customHeight="1">
      <c r="B883" s="11"/>
      <c r="F883" s="11"/>
    </row>
    <row r="884" ht="15.75" customHeight="1">
      <c r="B884" s="11"/>
      <c r="F884" s="11"/>
    </row>
    <row r="885" ht="15.75" customHeight="1">
      <c r="B885" s="11"/>
      <c r="F885" s="11"/>
    </row>
    <row r="886" ht="15.75" customHeight="1">
      <c r="B886" s="11"/>
      <c r="F886" s="11"/>
    </row>
    <row r="887" ht="15.75" customHeight="1">
      <c r="B887" s="11"/>
      <c r="F887" s="11"/>
    </row>
    <row r="888" ht="15.75" customHeight="1">
      <c r="B888" s="11"/>
      <c r="F888" s="11"/>
    </row>
    <row r="889" ht="15.75" customHeight="1">
      <c r="B889" s="11"/>
      <c r="F889" s="11"/>
    </row>
    <row r="890" ht="15.75" customHeight="1">
      <c r="B890" s="11"/>
      <c r="F890" s="11"/>
    </row>
    <row r="891" ht="15.75" customHeight="1">
      <c r="B891" s="11"/>
      <c r="F891" s="11"/>
    </row>
    <row r="892" ht="15.75" customHeight="1">
      <c r="B892" s="11"/>
      <c r="F892" s="11"/>
    </row>
    <row r="893" ht="15.75" customHeight="1">
      <c r="B893" s="11"/>
      <c r="F893" s="11"/>
    </row>
    <row r="894" ht="15.75" customHeight="1">
      <c r="B894" s="11"/>
      <c r="F894" s="11"/>
    </row>
    <row r="895" ht="15.75" customHeight="1">
      <c r="B895" s="11"/>
      <c r="F895" s="11"/>
    </row>
    <row r="896" ht="15.75" customHeight="1">
      <c r="B896" s="11"/>
      <c r="F896" s="11"/>
    </row>
    <row r="897" ht="15.75" customHeight="1">
      <c r="B897" s="11"/>
      <c r="F897" s="11"/>
    </row>
    <row r="898" ht="15.75" customHeight="1">
      <c r="B898" s="11"/>
      <c r="F898" s="11"/>
    </row>
    <row r="899" ht="15.75" customHeight="1">
      <c r="B899" s="11"/>
      <c r="F899" s="11"/>
    </row>
    <row r="900" ht="15.75" customHeight="1">
      <c r="B900" s="11"/>
      <c r="F900" s="11"/>
    </row>
    <row r="901" ht="15.75" customHeight="1">
      <c r="B901" s="11"/>
      <c r="F901" s="11"/>
    </row>
    <row r="902" ht="15.75" customHeight="1">
      <c r="B902" s="11"/>
      <c r="F902" s="11"/>
    </row>
    <row r="903" ht="15.75" customHeight="1">
      <c r="B903" s="11"/>
      <c r="F903" s="11"/>
    </row>
    <row r="904" ht="15.75" customHeight="1">
      <c r="B904" s="11"/>
      <c r="F904" s="11"/>
    </row>
    <row r="905" ht="15.75" customHeight="1">
      <c r="B905" s="11"/>
      <c r="F905" s="11"/>
    </row>
    <row r="906" ht="15.75" customHeight="1">
      <c r="B906" s="11"/>
      <c r="F906" s="11"/>
    </row>
    <row r="907" ht="15.75" customHeight="1">
      <c r="B907" s="11"/>
      <c r="F907" s="11"/>
    </row>
    <row r="908" ht="15.75" customHeight="1">
      <c r="B908" s="11"/>
      <c r="F908" s="11"/>
    </row>
    <row r="909" ht="15.75" customHeight="1">
      <c r="B909" s="11"/>
      <c r="F909" s="11"/>
    </row>
    <row r="910" ht="15.75" customHeight="1">
      <c r="B910" s="11"/>
      <c r="F910" s="11"/>
    </row>
    <row r="911" ht="15.75" customHeight="1">
      <c r="B911" s="11"/>
      <c r="F911" s="11"/>
    </row>
    <row r="912" ht="15.75" customHeight="1">
      <c r="B912" s="11"/>
      <c r="F912" s="11"/>
    </row>
    <row r="913" ht="15.75" customHeight="1">
      <c r="B913" s="11"/>
      <c r="F913" s="11"/>
    </row>
    <row r="914" ht="15.75" customHeight="1">
      <c r="B914" s="11"/>
      <c r="F914" s="11"/>
    </row>
    <row r="915" ht="15.75" customHeight="1">
      <c r="B915" s="11"/>
      <c r="F915" s="11"/>
    </row>
    <row r="916" ht="15.75" customHeight="1">
      <c r="B916" s="11"/>
      <c r="F916" s="11"/>
    </row>
    <row r="917" ht="15.75" customHeight="1">
      <c r="B917" s="11"/>
      <c r="F917" s="11"/>
    </row>
    <row r="918" ht="15.75" customHeight="1">
      <c r="B918" s="11"/>
      <c r="F918" s="11"/>
    </row>
    <row r="919" ht="15.75" customHeight="1">
      <c r="B919" s="11"/>
      <c r="F919" s="11"/>
    </row>
    <row r="920" ht="15.75" customHeight="1">
      <c r="B920" s="11"/>
      <c r="F920" s="11"/>
    </row>
    <row r="921" ht="15.75" customHeight="1">
      <c r="B921" s="11"/>
      <c r="F921" s="11"/>
    </row>
    <row r="922" ht="15.75" customHeight="1">
      <c r="B922" s="11"/>
      <c r="F922" s="11"/>
    </row>
    <row r="923" ht="15.75" customHeight="1">
      <c r="B923" s="11"/>
      <c r="F923" s="11"/>
    </row>
    <row r="924" ht="15.75" customHeight="1">
      <c r="B924" s="11"/>
      <c r="F924" s="11"/>
    </row>
    <row r="925" ht="15.75" customHeight="1">
      <c r="B925" s="11"/>
      <c r="F925" s="11"/>
    </row>
    <row r="926" ht="15.75" customHeight="1">
      <c r="B926" s="11"/>
      <c r="F926" s="11"/>
    </row>
    <row r="927" ht="15.75" customHeight="1">
      <c r="B927" s="11"/>
      <c r="F927" s="11"/>
    </row>
    <row r="928" ht="15.75" customHeight="1">
      <c r="B928" s="11"/>
      <c r="F928" s="11"/>
    </row>
    <row r="929" ht="15.75" customHeight="1">
      <c r="B929" s="11"/>
      <c r="F929" s="11"/>
    </row>
    <row r="930" ht="15.75" customHeight="1">
      <c r="B930" s="11"/>
      <c r="F930" s="11"/>
    </row>
    <row r="931" ht="15.75" customHeight="1">
      <c r="B931" s="11"/>
      <c r="F931" s="11"/>
    </row>
    <row r="932" ht="15.75" customHeight="1">
      <c r="B932" s="11"/>
      <c r="F932" s="11"/>
    </row>
    <row r="933" ht="15.75" customHeight="1">
      <c r="B933" s="11"/>
      <c r="F933" s="11"/>
    </row>
    <row r="934" ht="15.75" customHeight="1">
      <c r="B934" s="11"/>
      <c r="F934" s="11"/>
    </row>
    <row r="935" ht="15.75" customHeight="1">
      <c r="B935" s="11"/>
      <c r="F935" s="11"/>
    </row>
    <row r="936" ht="15.75" customHeight="1">
      <c r="B936" s="11"/>
      <c r="F936" s="11"/>
    </row>
    <row r="937" ht="15.75" customHeight="1">
      <c r="B937" s="11"/>
      <c r="F937" s="11"/>
    </row>
    <row r="938" ht="15.75" customHeight="1">
      <c r="B938" s="11"/>
      <c r="F938" s="11"/>
    </row>
    <row r="939" ht="15.75" customHeight="1">
      <c r="B939" s="11"/>
      <c r="F939" s="11"/>
    </row>
    <row r="940" ht="15.75" customHeight="1">
      <c r="B940" s="11"/>
      <c r="F940" s="11"/>
    </row>
    <row r="941" ht="15.75" customHeight="1">
      <c r="B941" s="11"/>
      <c r="F941" s="11"/>
    </row>
    <row r="942" ht="15.75" customHeight="1">
      <c r="B942" s="11"/>
      <c r="F942" s="11"/>
    </row>
    <row r="943" ht="15.75" customHeight="1">
      <c r="B943" s="11"/>
      <c r="F943" s="11"/>
    </row>
    <row r="944" ht="15.75" customHeight="1">
      <c r="B944" s="11"/>
      <c r="F944" s="11"/>
    </row>
    <row r="945" ht="15.75" customHeight="1">
      <c r="B945" s="11"/>
      <c r="F945" s="11"/>
    </row>
    <row r="946" ht="15.75" customHeight="1">
      <c r="B946" s="11"/>
      <c r="F946" s="11"/>
    </row>
    <row r="947" ht="15.75" customHeight="1">
      <c r="B947" s="11"/>
      <c r="F947" s="11"/>
    </row>
    <row r="948" ht="15.75" customHeight="1">
      <c r="B948" s="11"/>
      <c r="F948" s="11"/>
    </row>
    <row r="949" ht="15.75" customHeight="1">
      <c r="B949" s="11"/>
      <c r="F949" s="11"/>
    </row>
    <row r="950" ht="15.75" customHeight="1">
      <c r="B950" s="11"/>
      <c r="F950" s="11"/>
    </row>
    <row r="951" ht="15.75" customHeight="1">
      <c r="B951" s="11"/>
      <c r="F951" s="11"/>
    </row>
    <row r="952" ht="15.75" customHeight="1">
      <c r="B952" s="11"/>
      <c r="F952" s="11"/>
    </row>
    <row r="953" ht="15.75" customHeight="1">
      <c r="B953" s="11"/>
      <c r="F953" s="11"/>
    </row>
    <row r="954" ht="15.75" customHeight="1">
      <c r="B954" s="11"/>
      <c r="F954" s="11"/>
    </row>
    <row r="955" ht="15.75" customHeight="1">
      <c r="B955" s="11"/>
      <c r="F955" s="11"/>
    </row>
    <row r="956" ht="15.75" customHeight="1">
      <c r="B956" s="11"/>
      <c r="F956" s="11"/>
    </row>
    <row r="957" ht="15.75" customHeight="1">
      <c r="B957" s="11"/>
      <c r="F957" s="11"/>
    </row>
    <row r="958" ht="15.75" customHeight="1">
      <c r="B958" s="11"/>
      <c r="F958" s="11"/>
    </row>
    <row r="959" ht="15.75" customHeight="1">
      <c r="B959" s="11"/>
      <c r="F959" s="11"/>
    </row>
    <row r="960" ht="15.75" customHeight="1">
      <c r="B960" s="11"/>
      <c r="F960" s="11"/>
    </row>
    <row r="961" ht="15.75" customHeight="1">
      <c r="B961" s="11"/>
      <c r="F961" s="11"/>
    </row>
    <row r="962" ht="15.75" customHeight="1">
      <c r="B962" s="11"/>
      <c r="F962" s="11"/>
    </row>
    <row r="963" ht="15.75" customHeight="1">
      <c r="B963" s="11"/>
      <c r="F963" s="11"/>
    </row>
    <row r="964" ht="15.75" customHeight="1">
      <c r="B964" s="11"/>
      <c r="F964" s="11"/>
    </row>
    <row r="965" ht="15.75" customHeight="1">
      <c r="B965" s="11"/>
      <c r="F965" s="11"/>
    </row>
    <row r="966" ht="15.75" customHeight="1">
      <c r="B966" s="11"/>
      <c r="F966" s="11"/>
    </row>
    <row r="967" ht="15.75" customHeight="1">
      <c r="B967" s="11"/>
      <c r="F967" s="11"/>
    </row>
    <row r="968" ht="15.75" customHeight="1">
      <c r="B968" s="11"/>
      <c r="F968" s="11"/>
    </row>
    <row r="969" ht="15.75" customHeight="1">
      <c r="B969" s="11"/>
      <c r="F969" s="11"/>
    </row>
    <row r="970" ht="15.75" customHeight="1">
      <c r="B970" s="11"/>
      <c r="F970" s="11"/>
    </row>
    <row r="971" ht="15.75" customHeight="1">
      <c r="B971" s="11"/>
      <c r="F971" s="11"/>
    </row>
    <row r="972" ht="15.75" customHeight="1">
      <c r="B972" s="11"/>
      <c r="F972" s="11"/>
    </row>
    <row r="973" ht="15.75" customHeight="1">
      <c r="B973" s="11"/>
      <c r="F973" s="11"/>
    </row>
    <row r="974" ht="15.75" customHeight="1">
      <c r="B974" s="11"/>
      <c r="F974" s="11"/>
    </row>
    <row r="975" ht="15.75" customHeight="1">
      <c r="B975" s="11"/>
      <c r="F975" s="11"/>
    </row>
    <row r="976" ht="15.75" customHeight="1">
      <c r="B976" s="11"/>
      <c r="F976" s="11"/>
    </row>
    <row r="977" ht="15.75" customHeight="1">
      <c r="B977" s="11"/>
      <c r="F977" s="11"/>
    </row>
    <row r="978" ht="15.75" customHeight="1">
      <c r="B978" s="11"/>
      <c r="F978" s="11"/>
    </row>
    <row r="979" ht="15.75" customHeight="1">
      <c r="B979" s="11"/>
      <c r="F979" s="11"/>
    </row>
    <row r="980" ht="15.75" customHeight="1">
      <c r="B980" s="11"/>
      <c r="F980" s="11"/>
    </row>
    <row r="981" ht="15.75" customHeight="1">
      <c r="B981" s="11"/>
      <c r="F981" s="11"/>
    </row>
    <row r="982" ht="15.75" customHeight="1">
      <c r="B982" s="11"/>
      <c r="F982" s="11"/>
    </row>
    <row r="983" ht="15.75" customHeight="1">
      <c r="B983" s="11"/>
      <c r="F983" s="11"/>
    </row>
    <row r="984" ht="15.75" customHeight="1">
      <c r="B984" s="11"/>
      <c r="F984" s="11"/>
    </row>
    <row r="985" ht="15.75" customHeight="1">
      <c r="B985" s="11"/>
      <c r="F985" s="11"/>
    </row>
    <row r="986" ht="15.75" customHeight="1">
      <c r="B986" s="11"/>
      <c r="F986" s="11"/>
    </row>
    <row r="987" ht="15.75" customHeight="1">
      <c r="B987" s="11"/>
      <c r="F987" s="11"/>
    </row>
    <row r="988" ht="15.75" customHeight="1">
      <c r="B988" s="11"/>
      <c r="F988" s="11"/>
    </row>
    <row r="989" ht="15.75" customHeight="1">
      <c r="B989" s="11"/>
      <c r="F989" s="11"/>
    </row>
    <row r="990" ht="15.75" customHeight="1">
      <c r="B990" s="11"/>
      <c r="F990" s="11"/>
    </row>
    <row r="991" ht="15.75" customHeight="1">
      <c r="B991" s="11"/>
      <c r="F991" s="11"/>
    </row>
    <row r="992" ht="15.75" customHeight="1">
      <c r="B992" s="11"/>
      <c r="F992" s="11"/>
    </row>
    <row r="993" ht="15.75" customHeight="1">
      <c r="B993" s="11"/>
      <c r="F993" s="11"/>
    </row>
    <row r="994" ht="15.75" customHeight="1">
      <c r="B994" s="11"/>
      <c r="F994" s="11"/>
    </row>
    <row r="995" ht="15.75" customHeight="1">
      <c r="B995" s="11"/>
      <c r="F995" s="11"/>
    </row>
    <row r="996" ht="15.75" customHeight="1">
      <c r="B996" s="11"/>
      <c r="F996" s="11"/>
    </row>
    <row r="997" ht="15.75" customHeight="1">
      <c r="B997" s="11"/>
      <c r="F997" s="11"/>
    </row>
    <row r="998" ht="15.75" customHeight="1">
      <c r="B998" s="11"/>
      <c r="F998" s="11"/>
    </row>
    <row r="999" ht="15.75" customHeight="1">
      <c r="B999" s="11"/>
      <c r="F999" s="11"/>
    </row>
    <row r="1000" ht="15.75" customHeight="1">
      <c r="F1000" s="11"/>
    </row>
  </sheetData>
  <conditionalFormatting sqref="F2:F1000">
    <cfRule type="cellIs" dxfId="0" priority="1" operator="equal">
      <formula>"上場"</formula>
    </cfRule>
  </conditionalFormatting>
  <dataValidations>
    <dataValidation type="list" allowBlank="1" sqref="B2:B999">
      <formula1>"A,B,C,D,E"</formula1>
    </dataValidation>
    <dataValidation type="list" allowBlank="1" sqref="F2:F1000">
      <formula1>"上場,未上場"</formula1>
    </dataValidation>
  </dataValidations>
  <hyperlinks>
    <hyperlink r:id="rId1" ref="E2"/>
    <hyperlink r:id="rId2" ref="E3"/>
    <hyperlink r:id="rId3" location="section-overview" ref="J3"/>
    <hyperlink r:id="rId4" ref="E4"/>
    <hyperlink r:id="rId5" ref="E5"/>
    <hyperlink r:id="rId6" location="section-overview" ref="J5"/>
    <hyperlink r:id="rId7" ref="E6"/>
  </hyperlinks>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ht="15.75" customHeight="1">
      <c r="A1" s="2" t="s">
        <v>2265</v>
      </c>
      <c r="B1" s="2" t="s">
        <v>0</v>
      </c>
      <c r="C1" s="2" t="s">
        <v>2266</v>
      </c>
      <c r="D1" s="1" t="s">
        <v>2</v>
      </c>
      <c r="E1" s="2" t="s">
        <v>2760</v>
      </c>
      <c r="F1" s="2" t="s">
        <v>2256</v>
      </c>
      <c r="H1" s="2"/>
      <c r="I1" s="2"/>
      <c r="J1" s="2" t="s">
        <v>2271</v>
      </c>
      <c r="K1" s="2" t="s">
        <v>2287</v>
      </c>
      <c r="L1" s="2"/>
      <c r="M1" s="2"/>
      <c r="N1" s="2"/>
      <c r="O1" s="2"/>
      <c r="P1" s="2"/>
      <c r="Q1" s="2"/>
      <c r="R1" s="2"/>
      <c r="S1" s="2"/>
      <c r="T1" s="2"/>
      <c r="U1" s="2"/>
      <c r="V1" s="2"/>
      <c r="W1" s="2"/>
      <c r="X1" s="2"/>
      <c r="Y1" s="2"/>
      <c r="Z1" s="2"/>
      <c r="AA1" s="2"/>
      <c r="AB1" s="2"/>
    </row>
    <row r="2" ht="15.75" customHeight="1">
      <c r="D2" s="31"/>
      <c r="E2" s="11"/>
    </row>
    <row r="3" ht="15.75" customHeight="1">
      <c r="D3" s="31"/>
      <c r="E3" s="11"/>
    </row>
    <row r="4" ht="15.75" customHeight="1">
      <c r="D4" s="31"/>
      <c r="E4" s="11"/>
    </row>
    <row r="5" ht="15.75" customHeight="1">
      <c r="D5" s="31"/>
      <c r="E5" s="11"/>
    </row>
    <row r="6" ht="15.75" customHeight="1">
      <c r="D6" s="31"/>
      <c r="E6" s="11"/>
    </row>
    <row r="7" ht="15.75" customHeight="1">
      <c r="D7" s="31"/>
      <c r="E7" s="11"/>
    </row>
    <row r="8" ht="15.75" customHeight="1">
      <c r="D8" s="31"/>
      <c r="E8" s="11"/>
    </row>
    <row r="9" ht="15.75" customHeight="1">
      <c r="D9" s="31"/>
      <c r="E9" s="11"/>
    </row>
    <row r="10" ht="15.75" customHeight="1">
      <c r="D10" s="31"/>
      <c r="E10" s="11"/>
    </row>
    <row r="11" ht="15.75" customHeight="1">
      <c r="D11" s="31"/>
      <c r="E11" s="11"/>
    </row>
    <row r="12" ht="15.75" customHeight="1">
      <c r="D12" s="31"/>
      <c r="E12" s="11"/>
    </row>
    <row r="13" ht="15.75" customHeight="1">
      <c r="D13" s="31"/>
      <c r="E13" s="11"/>
    </row>
    <row r="14" ht="15.75" customHeight="1">
      <c r="D14" s="31"/>
      <c r="E14" s="11"/>
    </row>
    <row r="15" ht="15.75" customHeight="1">
      <c r="D15" s="31"/>
      <c r="E15" s="11"/>
    </row>
    <row r="16" ht="15.75" customHeight="1">
      <c r="D16" s="31"/>
      <c r="E16" s="11"/>
    </row>
    <row r="17" ht="15.75" customHeight="1">
      <c r="D17" s="31"/>
      <c r="E17" s="11"/>
    </row>
    <row r="18" ht="15.75" customHeight="1">
      <c r="D18" s="31"/>
      <c r="E18" s="11"/>
    </row>
    <row r="19" ht="15.75" customHeight="1">
      <c r="D19" s="31"/>
      <c r="E19" s="11"/>
    </row>
    <row r="20" ht="15.75" customHeight="1">
      <c r="D20" s="31"/>
      <c r="E20" s="11"/>
    </row>
    <row r="21" ht="15.75" customHeight="1">
      <c r="D21" s="31"/>
      <c r="E21" s="11"/>
    </row>
    <row r="22" ht="15.75" customHeight="1">
      <c r="D22" s="31"/>
      <c r="E22" s="11"/>
    </row>
    <row r="23" ht="15.75" customHeight="1">
      <c r="D23" s="31"/>
      <c r="E23" s="11"/>
    </row>
    <row r="24" ht="15.75" customHeight="1">
      <c r="D24" s="31"/>
      <c r="E24" s="11"/>
    </row>
    <row r="25" ht="15.75" customHeight="1">
      <c r="D25" s="31"/>
      <c r="E25" s="11"/>
    </row>
    <row r="26" ht="15.75" customHeight="1">
      <c r="D26" s="31"/>
      <c r="E26" s="11"/>
    </row>
    <row r="27" ht="15.75" customHeight="1">
      <c r="D27" s="31"/>
      <c r="E27" s="11"/>
    </row>
    <row r="28" ht="15.75" customHeight="1">
      <c r="D28" s="31"/>
      <c r="E28" s="11"/>
    </row>
    <row r="29" ht="15.75" customHeight="1">
      <c r="D29" s="31"/>
      <c r="E29" s="11"/>
    </row>
    <row r="30" ht="15.75" customHeight="1">
      <c r="D30" s="31"/>
      <c r="E30" s="11"/>
    </row>
    <row r="31" ht="15.75" customHeight="1">
      <c r="D31" s="31"/>
      <c r="E31" s="11"/>
    </row>
    <row r="32" ht="15.75" customHeight="1">
      <c r="D32" s="31"/>
      <c r="E32" s="11"/>
    </row>
    <row r="33" ht="15.75" customHeight="1">
      <c r="D33" s="31"/>
      <c r="E33" s="11"/>
    </row>
    <row r="34" ht="15.75" customHeight="1">
      <c r="D34" s="31"/>
      <c r="E34" s="11"/>
    </row>
    <row r="35" ht="15.75" customHeight="1">
      <c r="D35" s="31"/>
      <c r="E35" s="11"/>
    </row>
    <row r="36" ht="15.75" customHeight="1">
      <c r="D36" s="31"/>
      <c r="E36" s="11"/>
    </row>
    <row r="37" ht="15.75" customHeight="1">
      <c r="D37" s="31"/>
      <c r="E37" s="11"/>
    </row>
    <row r="38" ht="15.75" customHeight="1">
      <c r="D38" s="31"/>
      <c r="E38" s="11"/>
    </row>
    <row r="39" ht="15.75" customHeight="1">
      <c r="D39" s="31"/>
      <c r="E39" s="11"/>
    </row>
    <row r="40" ht="15.75" customHeight="1">
      <c r="D40" s="31"/>
      <c r="E40" s="11"/>
    </row>
    <row r="41" ht="15.75" customHeight="1">
      <c r="D41" s="31"/>
      <c r="E41" s="11"/>
    </row>
    <row r="42" ht="15.75" customHeight="1">
      <c r="D42" s="31"/>
      <c r="E42" s="11"/>
    </row>
    <row r="43" ht="15.75" customHeight="1">
      <c r="D43" s="31"/>
      <c r="E43" s="11"/>
    </row>
    <row r="44" ht="15.75" customHeight="1">
      <c r="D44" s="31"/>
      <c r="E44" s="11"/>
    </row>
    <row r="45" ht="15.75" customHeight="1">
      <c r="D45" s="31"/>
      <c r="E45" s="11"/>
    </row>
    <row r="46" ht="15.75" customHeight="1">
      <c r="D46" s="31"/>
      <c r="E46" s="11"/>
    </row>
    <row r="47" ht="15.75" customHeight="1">
      <c r="D47" s="31"/>
      <c r="E47" s="11"/>
    </row>
    <row r="48" ht="15.75" customHeight="1">
      <c r="D48" s="31"/>
      <c r="E48" s="11"/>
    </row>
    <row r="49" ht="15.75" customHeight="1">
      <c r="D49" s="31"/>
      <c r="E49" s="11"/>
    </row>
    <row r="50" ht="15.75" customHeight="1">
      <c r="D50" s="31"/>
      <c r="E50" s="11"/>
    </row>
    <row r="51" ht="15.75" customHeight="1">
      <c r="D51" s="31"/>
      <c r="E51" s="11"/>
    </row>
    <row r="52" ht="15.75" customHeight="1">
      <c r="D52" s="31"/>
      <c r="E52" s="11"/>
    </row>
    <row r="53" ht="15.75" customHeight="1">
      <c r="D53" s="31"/>
      <c r="E53" s="11"/>
    </row>
    <row r="54" ht="15.75" customHeight="1">
      <c r="D54" s="31"/>
      <c r="E54" s="11"/>
    </row>
    <row r="55" ht="15.75" customHeight="1">
      <c r="D55" s="31"/>
      <c r="E55" s="11"/>
    </row>
    <row r="56" ht="15.75" customHeight="1">
      <c r="D56" s="31"/>
      <c r="E56" s="11"/>
    </row>
    <row r="57" ht="15.75" customHeight="1">
      <c r="D57" s="31"/>
      <c r="E57" s="11"/>
    </row>
    <row r="58" ht="15.75" customHeight="1">
      <c r="D58" s="31"/>
      <c r="E58" s="11"/>
    </row>
    <row r="59" ht="15.75" customHeight="1">
      <c r="D59" s="31"/>
      <c r="E59" s="11"/>
    </row>
    <row r="60" ht="15.75" customHeight="1">
      <c r="D60" s="31"/>
      <c r="E60" s="11"/>
    </row>
    <row r="61" ht="15.75" customHeight="1">
      <c r="D61" s="31"/>
      <c r="E61" s="11"/>
    </row>
    <row r="62" ht="15.75" customHeight="1">
      <c r="D62" s="31"/>
      <c r="E62" s="11"/>
    </row>
    <row r="63" ht="15.75" customHeight="1">
      <c r="D63" s="31"/>
      <c r="E63" s="11"/>
    </row>
    <row r="64" ht="15.75" customHeight="1">
      <c r="D64" s="31"/>
      <c r="E64" s="11"/>
    </row>
    <row r="65" ht="15.75" customHeight="1">
      <c r="D65" s="31"/>
      <c r="E65" s="11"/>
    </row>
    <row r="66" ht="15.75" customHeight="1">
      <c r="D66" s="31"/>
      <c r="E66" s="11"/>
    </row>
    <row r="67" ht="15.75" customHeight="1">
      <c r="D67" s="31"/>
      <c r="E67" s="11"/>
    </row>
    <row r="68" ht="15.75" customHeight="1">
      <c r="D68" s="31"/>
      <c r="E68" s="11"/>
    </row>
    <row r="69" ht="15.75" customHeight="1">
      <c r="D69" s="31"/>
      <c r="E69" s="11"/>
    </row>
    <row r="70" ht="15.75" customHeight="1">
      <c r="D70" s="31"/>
      <c r="E70" s="11"/>
    </row>
    <row r="71" ht="15.75" customHeight="1">
      <c r="D71" s="31"/>
      <c r="E71" s="11"/>
    </row>
    <row r="72" ht="15.75" customHeight="1">
      <c r="D72" s="31"/>
      <c r="E72" s="11"/>
    </row>
    <row r="73" ht="15.75" customHeight="1">
      <c r="D73" s="31"/>
      <c r="E73" s="11"/>
    </row>
    <row r="74" ht="15.75" customHeight="1">
      <c r="D74" s="31"/>
      <c r="E74" s="11"/>
    </row>
    <row r="75" ht="15.75" customHeight="1">
      <c r="D75" s="31"/>
      <c r="E75" s="11"/>
    </row>
    <row r="76" ht="15.75" customHeight="1">
      <c r="D76" s="31"/>
      <c r="E76" s="11"/>
    </row>
    <row r="77" ht="15.75" customHeight="1">
      <c r="D77" s="31"/>
      <c r="E77" s="11"/>
    </row>
    <row r="78" ht="15.75" customHeight="1">
      <c r="D78" s="31"/>
      <c r="E78" s="11"/>
    </row>
    <row r="79" ht="15.75" customHeight="1">
      <c r="D79" s="31"/>
      <c r="E79" s="11"/>
    </row>
    <row r="80" ht="15.75" customHeight="1">
      <c r="D80" s="31"/>
      <c r="E80" s="11"/>
    </row>
    <row r="81" ht="15.75" customHeight="1">
      <c r="D81" s="31"/>
      <c r="E81" s="11"/>
    </row>
    <row r="82" ht="15.75" customHeight="1">
      <c r="D82" s="31"/>
      <c r="E82" s="11"/>
    </row>
    <row r="83" ht="15.75" customHeight="1">
      <c r="D83" s="31"/>
      <c r="E83" s="11"/>
    </row>
    <row r="84" ht="15.75" customHeight="1">
      <c r="D84" s="31"/>
      <c r="E84" s="11"/>
    </row>
    <row r="85" ht="15.75" customHeight="1">
      <c r="D85" s="31"/>
      <c r="E85" s="11"/>
    </row>
    <row r="86" ht="15.75" customHeight="1">
      <c r="D86" s="31"/>
      <c r="E86" s="11"/>
    </row>
    <row r="87" ht="15.75" customHeight="1">
      <c r="D87" s="31"/>
      <c r="E87" s="11"/>
    </row>
    <row r="88" ht="15.75" customHeight="1">
      <c r="D88" s="31"/>
      <c r="E88" s="11"/>
    </row>
    <row r="89" ht="15.75" customHeight="1">
      <c r="D89" s="31"/>
      <c r="E89" s="11"/>
    </row>
    <row r="90" ht="15.75" customHeight="1">
      <c r="D90" s="31"/>
      <c r="E90" s="11"/>
    </row>
    <row r="91" ht="15.75" customHeight="1">
      <c r="D91" s="31"/>
      <c r="E91" s="11"/>
    </row>
    <row r="92" ht="15.75" customHeight="1">
      <c r="D92" s="31"/>
      <c r="E92" s="11"/>
    </row>
    <row r="93" ht="15.75" customHeight="1">
      <c r="D93" s="31"/>
      <c r="E93" s="11"/>
    </row>
    <row r="94" ht="15.75" customHeight="1">
      <c r="D94" s="31"/>
      <c r="E94" s="11"/>
    </row>
    <row r="95" ht="15.75" customHeight="1">
      <c r="D95" s="31"/>
      <c r="E95" s="11"/>
    </row>
    <row r="96" ht="15.75" customHeight="1">
      <c r="D96" s="31"/>
      <c r="E96" s="11"/>
    </row>
    <row r="97" ht="15.75" customHeight="1">
      <c r="D97" s="31"/>
      <c r="E97" s="11"/>
    </row>
    <row r="98" ht="15.75" customHeight="1">
      <c r="D98" s="31"/>
      <c r="E98" s="11"/>
    </row>
    <row r="99" ht="15.75" customHeight="1">
      <c r="D99" s="31"/>
      <c r="E99" s="11"/>
    </row>
    <row r="100" ht="15.75" customHeight="1">
      <c r="D100" s="31"/>
      <c r="E100" s="11"/>
    </row>
    <row r="101" ht="15.75" customHeight="1">
      <c r="D101" s="31"/>
      <c r="E101" s="11"/>
    </row>
    <row r="102" ht="15.75" customHeight="1">
      <c r="D102" s="31"/>
      <c r="E102" s="11"/>
    </row>
    <row r="103" ht="15.75" customHeight="1">
      <c r="D103" s="31"/>
      <c r="E103" s="11"/>
    </row>
    <row r="104" ht="15.75" customHeight="1">
      <c r="D104" s="31"/>
      <c r="E104" s="11"/>
    </row>
    <row r="105" ht="15.75" customHeight="1">
      <c r="D105" s="31"/>
      <c r="E105" s="11"/>
    </row>
    <row r="106" ht="15.75" customHeight="1">
      <c r="D106" s="31"/>
      <c r="E106" s="11"/>
    </row>
    <row r="107" ht="15.75" customHeight="1">
      <c r="D107" s="31"/>
      <c r="E107" s="11"/>
    </row>
    <row r="108" ht="15.75" customHeight="1">
      <c r="D108" s="31"/>
      <c r="E108" s="11"/>
    </row>
    <row r="109" ht="15.75" customHeight="1">
      <c r="D109" s="31"/>
      <c r="E109" s="11"/>
    </row>
    <row r="110" ht="15.75" customHeight="1">
      <c r="D110" s="31"/>
      <c r="E110" s="11"/>
    </row>
    <row r="111" ht="15.75" customHeight="1">
      <c r="D111" s="31"/>
      <c r="E111" s="11"/>
    </row>
    <row r="112" ht="15.75" customHeight="1">
      <c r="D112" s="31"/>
      <c r="E112" s="11"/>
    </row>
    <row r="113" ht="15.75" customHeight="1">
      <c r="D113" s="31"/>
      <c r="E113" s="11"/>
    </row>
    <row r="114" ht="15.75" customHeight="1">
      <c r="D114" s="31"/>
      <c r="E114" s="11"/>
    </row>
    <row r="115" ht="15.75" customHeight="1">
      <c r="D115" s="31"/>
      <c r="E115" s="11"/>
    </row>
    <row r="116" ht="15.75" customHeight="1">
      <c r="D116" s="31"/>
      <c r="E116" s="11"/>
    </row>
    <row r="117" ht="15.75" customHeight="1">
      <c r="D117" s="31"/>
      <c r="E117" s="11"/>
    </row>
    <row r="118" ht="15.75" customHeight="1">
      <c r="D118" s="31"/>
      <c r="E118" s="11"/>
    </row>
    <row r="119" ht="15.75" customHeight="1">
      <c r="D119" s="31"/>
      <c r="E119" s="11"/>
    </row>
    <row r="120" ht="15.75" customHeight="1">
      <c r="D120" s="31"/>
      <c r="E120" s="11"/>
    </row>
    <row r="121" ht="15.75" customHeight="1">
      <c r="D121" s="31"/>
      <c r="E121" s="11"/>
    </row>
    <row r="122" ht="15.75" customHeight="1">
      <c r="D122" s="31"/>
      <c r="E122" s="11"/>
    </row>
    <row r="123" ht="15.75" customHeight="1">
      <c r="D123" s="31"/>
      <c r="E123" s="11"/>
    </row>
    <row r="124" ht="15.75" customHeight="1">
      <c r="D124" s="31"/>
      <c r="E124" s="11"/>
    </row>
    <row r="125" ht="15.75" customHeight="1">
      <c r="D125" s="31"/>
      <c r="E125" s="11"/>
    </row>
    <row r="126" ht="15.75" customHeight="1">
      <c r="D126" s="31"/>
      <c r="E126" s="11"/>
    </row>
    <row r="127" ht="15.75" customHeight="1">
      <c r="D127" s="31"/>
      <c r="E127" s="11"/>
    </row>
    <row r="128" ht="15.75" customHeight="1">
      <c r="D128" s="31"/>
      <c r="E128" s="11"/>
    </row>
    <row r="129" ht="15.75" customHeight="1">
      <c r="D129" s="31"/>
      <c r="E129" s="11"/>
    </row>
    <row r="130" ht="15.75" customHeight="1">
      <c r="D130" s="31"/>
      <c r="E130" s="11"/>
    </row>
    <row r="131" ht="15.75" customHeight="1">
      <c r="D131" s="31"/>
      <c r="E131" s="11"/>
    </row>
    <row r="132" ht="15.75" customHeight="1">
      <c r="D132" s="31"/>
      <c r="E132" s="11"/>
    </row>
    <row r="133" ht="15.75" customHeight="1">
      <c r="D133" s="31"/>
      <c r="E133" s="11"/>
    </row>
    <row r="134" ht="15.75" customHeight="1">
      <c r="D134" s="31"/>
      <c r="E134" s="11"/>
    </row>
    <row r="135" ht="15.75" customHeight="1">
      <c r="D135" s="31"/>
      <c r="E135" s="11"/>
    </row>
    <row r="136" ht="15.75" customHeight="1">
      <c r="D136" s="31"/>
      <c r="E136" s="11"/>
    </row>
    <row r="137" ht="15.75" customHeight="1">
      <c r="D137" s="31"/>
      <c r="E137" s="11"/>
    </row>
    <row r="138" ht="15.75" customHeight="1">
      <c r="D138" s="31"/>
      <c r="E138" s="11"/>
    </row>
    <row r="139" ht="15.75" customHeight="1">
      <c r="D139" s="31"/>
      <c r="E139" s="11"/>
    </row>
    <row r="140" ht="15.75" customHeight="1">
      <c r="D140" s="31"/>
      <c r="E140" s="11"/>
    </row>
    <row r="141" ht="15.75" customHeight="1">
      <c r="D141" s="31"/>
      <c r="E141" s="11"/>
    </row>
    <row r="142" ht="15.75" customHeight="1">
      <c r="D142" s="31"/>
      <c r="E142" s="11"/>
    </row>
    <row r="143" ht="15.75" customHeight="1">
      <c r="D143" s="31"/>
      <c r="E143" s="11"/>
    </row>
    <row r="144" ht="15.75" customHeight="1">
      <c r="D144" s="31"/>
      <c r="E144" s="11"/>
    </row>
    <row r="145" ht="15.75" customHeight="1">
      <c r="D145" s="31"/>
      <c r="E145" s="11"/>
    </row>
    <row r="146" ht="15.75" customHeight="1">
      <c r="D146" s="31"/>
      <c r="E146" s="11"/>
    </row>
    <row r="147" ht="15.75" customHeight="1">
      <c r="D147" s="31"/>
      <c r="E147" s="11"/>
    </row>
    <row r="148" ht="15.75" customHeight="1">
      <c r="D148" s="31"/>
      <c r="E148" s="11"/>
    </row>
    <row r="149" ht="15.75" customHeight="1">
      <c r="D149" s="31"/>
      <c r="E149" s="11"/>
    </row>
    <row r="150" ht="15.75" customHeight="1">
      <c r="D150" s="31"/>
      <c r="E150" s="11"/>
    </row>
    <row r="151" ht="15.75" customHeight="1">
      <c r="D151" s="31"/>
      <c r="E151" s="11"/>
    </row>
    <row r="152" ht="15.75" customHeight="1">
      <c r="D152" s="31"/>
      <c r="E152" s="11"/>
    </row>
    <row r="153" ht="15.75" customHeight="1">
      <c r="D153" s="31"/>
      <c r="E153" s="11"/>
    </row>
    <row r="154" ht="15.75" customHeight="1">
      <c r="D154" s="31"/>
      <c r="E154" s="11"/>
    </row>
    <row r="155" ht="15.75" customHeight="1">
      <c r="D155" s="31"/>
      <c r="E155" s="11"/>
    </row>
    <row r="156" ht="15.75" customHeight="1">
      <c r="D156" s="31"/>
      <c r="E156" s="11"/>
    </row>
    <row r="157" ht="15.75" customHeight="1">
      <c r="D157" s="31"/>
      <c r="E157" s="11"/>
    </row>
    <row r="158" ht="15.75" customHeight="1">
      <c r="D158" s="31"/>
      <c r="E158" s="11"/>
    </row>
    <row r="159" ht="15.75" customHeight="1">
      <c r="D159" s="31"/>
      <c r="E159" s="11"/>
    </row>
    <row r="160" ht="15.75" customHeight="1">
      <c r="D160" s="31"/>
      <c r="E160" s="11"/>
    </row>
    <row r="161" ht="15.75" customHeight="1">
      <c r="D161" s="31"/>
      <c r="E161" s="11"/>
    </row>
    <row r="162" ht="15.75" customHeight="1">
      <c r="D162" s="31"/>
      <c r="E162" s="11"/>
    </row>
    <row r="163" ht="15.75" customHeight="1">
      <c r="D163" s="31"/>
      <c r="E163" s="11"/>
    </row>
    <row r="164" ht="15.75" customHeight="1">
      <c r="D164" s="31"/>
      <c r="E164" s="11"/>
    </row>
    <row r="165" ht="15.75" customHeight="1">
      <c r="D165" s="31"/>
      <c r="E165" s="11"/>
    </row>
    <row r="166" ht="15.75" customHeight="1">
      <c r="D166" s="31"/>
      <c r="E166" s="11"/>
    </row>
    <row r="167" ht="15.75" customHeight="1">
      <c r="D167" s="31"/>
      <c r="E167" s="11"/>
    </row>
    <row r="168" ht="15.75" customHeight="1">
      <c r="D168" s="31"/>
      <c r="E168" s="11"/>
    </row>
    <row r="169" ht="15.75" customHeight="1">
      <c r="D169" s="31"/>
      <c r="E169" s="11"/>
    </row>
    <row r="170" ht="15.75" customHeight="1">
      <c r="D170" s="31"/>
      <c r="E170" s="11"/>
    </row>
    <row r="171" ht="15.75" customHeight="1">
      <c r="D171" s="31"/>
      <c r="E171" s="11"/>
    </row>
    <row r="172" ht="15.75" customHeight="1">
      <c r="D172" s="31"/>
      <c r="E172" s="11"/>
    </row>
    <row r="173" ht="15.75" customHeight="1">
      <c r="D173" s="31"/>
      <c r="E173" s="11"/>
    </row>
    <row r="174" ht="15.75" customHeight="1">
      <c r="D174" s="31"/>
      <c r="E174" s="11"/>
    </row>
    <row r="175" ht="15.75" customHeight="1">
      <c r="D175" s="31"/>
      <c r="E175" s="11"/>
    </row>
    <row r="176" ht="15.75" customHeight="1">
      <c r="D176" s="31"/>
      <c r="E176" s="11"/>
    </row>
    <row r="177" ht="15.75" customHeight="1">
      <c r="D177" s="31"/>
      <c r="E177" s="11"/>
    </row>
    <row r="178" ht="15.75" customHeight="1">
      <c r="D178" s="31"/>
      <c r="E178" s="11"/>
    </row>
    <row r="179" ht="15.75" customHeight="1">
      <c r="D179" s="31"/>
      <c r="E179" s="11"/>
    </row>
    <row r="180" ht="15.75" customHeight="1">
      <c r="D180" s="31"/>
      <c r="E180" s="11"/>
    </row>
    <row r="181" ht="15.75" customHeight="1">
      <c r="D181" s="31"/>
      <c r="E181" s="11"/>
    </row>
    <row r="182" ht="15.75" customHeight="1">
      <c r="D182" s="31"/>
      <c r="E182" s="11"/>
    </row>
    <row r="183" ht="15.75" customHeight="1">
      <c r="D183" s="31"/>
      <c r="E183" s="11"/>
    </row>
    <row r="184" ht="15.75" customHeight="1">
      <c r="D184" s="31"/>
      <c r="E184" s="11"/>
    </row>
    <row r="185" ht="15.75" customHeight="1">
      <c r="D185" s="31"/>
      <c r="E185" s="11"/>
    </row>
    <row r="186" ht="15.75" customHeight="1">
      <c r="D186" s="31"/>
      <c r="E186" s="11"/>
    </row>
    <row r="187" ht="15.75" customHeight="1">
      <c r="D187" s="31"/>
      <c r="E187" s="11"/>
    </row>
    <row r="188" ht="15.75" customHeight="1">
      <c r="D188" s="31"/>
      <c r="E188" s="11"/>
    </row>
    <row r="189" ht="15.75" customHeight="1">
      <c r="D189" s="31"/>
      <c r="E189" s="11"/>
    </row>
    <row r="190" ht="15.75" customHeight="1">
      <c r="D190" s="31"/>
      <c r="E190" s="11"/>
    </row>
    <row r="191" ht="15.75" customHeight="1">
      <c r="D191" s="31"/>
      <c r="E191" s="11"/>
    </row>
    <row r="192" ht="15.75" customHeight="1">
      <c r="D192" s="31"/>
      <c r="E192" s="11"/>
    </row>
    <row r="193" ht="15.75" customHeight="1">
      <c r="D193" s="31"/>
      <c r="E193" s="11"/>
    </row>
    <row r="194" ht="15.75" customHeight="1">
      <c r="D194" s="31"/>
      <c r="E194" s="11"/>
    </row>
    <row r="195" ht="15.75" customHeight="1">
      <c r="D195" s="31"/>
      <c r="E195" s="11"/>
    </row>
    <row r="196" ht="15.75" customHeight="1">
      <c r="D196" s="31"/>
      <c r="E196" s="11"/>
    </row>
    <row r="197" ht="15.75" customHeight="1">
      <c r="D197" s="31"/>
      <c r="E197" s="11"/>
    </row>
    <row r="198" ht="15.75" customHeight="1">
      <c r="D198" s="31"/>
      <c r="E198" s="11"/>
    </row>
    <row r="199" ht="15.75" customHeight="1">
      <c r="D199" s="31"/>
      <c r="E199" s="11"/>
    </row>
    <row r="200" ht="15.75" customHeight="1">
      <c r="D200" s="31"/>
      <c r="E200" s="11"/>
    </row>
    <row r="201" ht="15.75" customHeight="1">
      <c r="D201" s="31"/>
      <c r="E201" s="11"/>
    </row>
    <row r="202" ht="15.75" customHeight="1">
      <c r="D202" s="31"/>
      <c r="E202" s="11"/>
    </row>
    <row r="203" ht="15.75" customHeight="1">
      <c r="D203" s="31"/>
      <c r="E203" s="11"/>
    </row>
    <row r="204" ht="15.75" customHeight="1">
      <c r="D204" s="31"/>
      <c r="E204" s="11"/>
    </row>
    <row r="205" ht="15.75" customHeight="1">
      <c r="D205" s="31"/>
      <c r="E205" s="11"/>
    </row>
    <row r="206" ht="15.75" customHeight="1">
      <c r="D206" s="31"/>
      <c r="E206" s="11"/>
    </row>
    <row r="207" ht="15.75" customHeight="1">
      <c r="D207" s="31"/>
      <c r="E207" s="11"/>
    </row>
    <row r="208" ht="15.75" customHeight="1">
      <c r="D208" s="31"/>
      <c r="E208" s="11"/>
    </row>
    <row r="209" ht="15.75" customHeight="1">
      <c r="D209" s="31"/>
      <c r="E209" s="11"/>
    </row>
    <row r="210" ht="15.75" customHeight="1">
      <c r="D210" s="31"/>
      <c r="E210" s="11"/>
    </row>
    <row r="211" ht="15.75" customHeight="1">
      <c r="D211" s="31"/>
      <c r="E211" s="11"/>
    </row>
    <row r="212" ht="15.75" customHeight="1">
      <c r="D212" s="31"/>
      <c r="E212" s="11"/>
    </row>
    <row r="213" ht="15.75" customHeight="1">
      <c r="D213" s="31"/>
      <c r="E213" s="11"/>
    </row>
    <row r="214" ht="15.75" customHeight="1">
      <c r="D214" s="31"/>
      <c r="E214" s="11"/>
    </row>
    <row r="215" ht="15.75" customHeight="1">
      <c r="D215" s="31"/>
      <c r="E215" s="11"/>
    </row>
    <row r="216" ht="15.75" customHeight="1">
      <c r="D216" s="31"/>
      <c r="E216" s="11"/>
    </row>
    <row r="217" ht="15.75" customHeight="1">
      <c r="D217" s="31"/>
      <c r="E217" s="11"/>
    </row>
    <row r="218" ht="15.75" customHeight="1">
      <c r="D218" s="31"/>
      <c r="E218" s="11"/>
    </row>
    <row r="219" ht="15.75" customHeight="1">
      <c r="D219" s="31"/>
      <c r="E219" s="11"/>
    </row>
    <row r="220" ht="15.75" customHeight="1">
      <c r="D220" s="31"/>
      <c r="E220" s="11"/>
    </row>
    <row r="221" ht="15.75" customHeight="1">
      <c r="E221" s="11"/>
    </row>
    <row r="222" ht="15.75" customHeight="1">
      <c r="E222" s="11"/>
    </row>
    <row r="223" ht="15.75" customHeight="1">
      <c r="E223" s="11"/>
    </row>
    <row r="224" ht="15.75" customHeight="1">
      <c r="E224" s="11"/>
    </row>
    <row r="225" ht="15.75" customHeight="1">
      <c r="E225" s="11"/>
    </row>
    <row r="226" ht="15.75" customHeight="1">
      <c r="E226" s="11"/>
    </row>
    <row r="227" ht="15.75" customHeight="1">
      <c r="E227" s="11"/>
    </row>
    <row r="228" ht="15.75" customHeight="1">
      <c r="E228" s="11"/>
    </row>
    <row r="229" ht="15.75" customHeight="1">
      <c r="E229" s="11"/>
    </row>
    <row r="230" ht="15.75" customHeight="1">
      <c r="E230" s="11"/>
    </row>
    <row r="231" ht="15.75" customHeight="1">
      <c r="E231" s="11"/>
    </row>
    <row r="232" ht="15.75" customHeight="1">
      <c r="E232" s="11"/>
    </row>
    <row r="233" ht="15.75" customHeight="1">
      <c r="E233" s="11"/>
    </row>
    <row r="234" ht="15.75" customHeight="1">
      <c r="E234" s="11"/>
    </row>
    <row r="235" ht="15.75" customHeight="1">
      <c r="E235" s="11"/>
    </row>
    <row r="236" ht="15.75" customHeight="1">
      <c r="E236" s="11"/>
    </row>
    <row r="237" ht="15.75" customHeight="1">
      <c r="E237" s="11"/>
    </row>
    <row r="238" ht="15.75" customHeight="1">
      <c r="E238" s="11"/>
    </row>
    <row r="239" ht="15.75" customHeight="1">
      <c r="E239" s="11"/>
    </row>
    <row r="240" ht="15.75" customHeight="1">
      <c r="E240" s="11"/>
    </row>
    <row r="241" ht="15.75" customHeight="1">
      <c r="E241" s="11"/>
    </row>
    <row r="242" ht="15.75" customHeight="1">
      <c r="E242" s="11"/>
    </row>
    <row r="243" ht="15.75" customHeight="1">
      <c r="E243" s="11"/>
    </row>
    <row r="244" ht="15.75" customHeight="1">
      <c r="E244" s="11"/>
    </row>
    <row r="245" ht="15.75" customHeight="1">
      <c r="E245" s="11"/>
    </row>
    <row r="246" ht="15.75" customHeight="1">
      <c r="E246" s="11"/>
    </row>
    <row r="247" ht="15.75" customHeight="1">
      <c r="E247" s="11"/>
    </row>
    <row r="248" ht="15.75" customHeight="1">
      <c r="E248" s="11"/>
    </row>
    <row r="249" ht="15.75" customHeight="1">
      <c r="E249" s="11"/>
    </row>
    <row r="250" ht="15.75" customHeight="1">
      <c r="E250" s="11"/>
    </row>
    <row r="251" ht="15.75" customHeight="1">
      <c r="E251" s="11"/>
    </row>
    <row r="252" ht="15.75" customHeight="1">
      <c r="E252" s="11"/>
    </row>
    <row r="253" ht="15.75" customHeight="1">
      <c r="E253" s="11"/>
    </row>
    <row r="254" ht="15.75" customHeight="1">
      <c r="E254" s="11"/>
    </row>
    <row r="255" ht="15.75" customHeight="1">
      <c r="E255" s="11"/>
    </row>
    <row r="256" ht="15.75" customHeight="1">
      <c r="E256" s="11"/>
    </row>
    <row r="257" ht="15.75" customHeight="1">
      <c r="E257" s="11"/>
    </row>
    <row r="258" ht="15.75" customHeight="1">
      <c r="E258" s="11"/>
    </row>
    <row r="259" ht="15.75" customHeight="1">
      <c r="E259" s="11"/>
    </row>
    <row r="260" ht="15.75" customHeight="1">
      <c r="E260" s="11"/>
    </row>
    <row r="261" ht="15.75" customHeight="1">
      <c r="E261" s="11"/>
    </row>
    <row r="262" ht="15.75" customHeight="1">
      <c r="E262" s="11"/>
    </row>
    <row r="263" ht="15.75" customHeight="1">
      <c r="E263" s="11"/>
    </row>
    <row r="264" ht="15.75" customHeight="1">
      <c r="E264" s="11"/>
    </row>
    <row r="265" ht="15.75" customHeight="1">
      <c r="E265" s="11"/>
    </row>
    <row r="266" ht="15.75" customHeight="1">
      <c r="E266" s="11"/>
    </row>
    <row r="267" ht="15.75" customHeight="1">
      <c r="E267" s="11"/>
    </row>
    <row r="268" ht="15.75" customHeight="1">
      <c r="E268" s="11"/>
    </row>
    <row r="269" ht="15.75" customHeight="1">
      <c r="E269" s="11"/>
    </row>
    <row r="270" ht="15.75" customHeight="1">
      <c r="E270" s="11"/>
    </row>
    <row r="271" ht="15.75" customHeight="1">
      <c r="E271" s="11"/>
    </row>
    <row r="272" ht="15.75" customHeight="1">
      <c r="E272" s="11"/>
    </row>
    <row r="273" ht="15.75" customHeight="1">
      <c r="E273" s="11"/>
    </row>
    <row r="274" ht="15.75" customHeight="1">
      <c r="E274" s="11"/>
    </row>
    <row r="275" ht="15.75" customHeight="1">
      <c r="E275" s="11"/>
    </row>
    <row r="276" ht="15.75" customHeight="1">
      <c r="E276" s="11"/>
    </row>
    <row r="277" ht="15.75" customHeight="1">
      <c r="E277" s="11"/>
    </row>
    <row r="278" ht="15.75" customHeight="1">
      <c r="E278" s="11"/>
    </row>
    <row r="279" ht="15.75" customHeight="1">
      <c r="E279" s="11"/>
    </row>
    <row r="280" ht="15.75" customHeight="1">
      <c r="E280" s="11"/>
    </row>
    <row r="281" ht="15.75" customHeight="1">
      <c r="E281" s="11"/>
    </row>
    <row r="282" ht="15.75" customHeight="1">
      <c r="E282" s="11"/>
    </row>
    <row r="283" ht="15.75" customHeight="1">
      <c r="E283" s="11"/>
    </row>
    <row r="284" ht="15.75" customHeight="1">
      <c r="E284" s="11"/>
    </row>
    <row r="285" ht="15.75" customHeight="1">
      <c r="E285" s="11"/>
    </row>
    <row r="286" ht="15.75" customHeight="1">
      <c r="E286" s="11"/>
    </row>
    <row r="287" ht="15.75" customHeight="1">
      <c r="E287" s="11"/>
    </row>
    <row r="288" ht="15.75" customHeight="1">
      <c r="E288" s="11"/>
    </row>
    <row r="289" ht="15.75" customHeight="1">
      <c r="E289" s="11"/>
    </row>
    <row r="290" ht="15.75" customHeight="1">
      <c r="E290" s="11"/>
    </row>
    <row r="291" ht="15.75" customHeight="1">
      <c r="E291" s="11"/>
    </row>
    <row r="292" ht="15.75" customHeight="1">
      <c r="E292" s="11"/>
    </row>
    <row r="293" ht="15.75" customHeight="1">
      <c r="E293" s="11"/>
    </row>
    <row r="294" ht="15.75" customHeight="1">
      <c r="E294" s="11"/>
    </row>
    <row r="295" ht="15.75" customHeight="1">
      <c r="E295" s="11"/>
    </row>
    <row r="296" ht="15.75" customHeight="1">
      <c r="E296" s="11"/>
    </row>
    <row r="297" ht="15.75" customHeight="1">
      <c r="E297" s="11"/>
    </row>
    <row r="298" ht="15.75" customHeight="1">
      <c r="E298" s="11"/>
    </row>
    <row r="299" ht="15.75" customHeight="1">
      <c r="E299" s="11"/>
    </row>
    <row r="300" ht="15.75" customHeight="1">
      <c r="E300" s="11"/>
    </row>
    <row r="301" ht="15.75" customHeight="1">
      <c r="E301" s="11"/>
    </row>
    <row r="302" ht="15.75" customHeight="1">
      <c r="E302" s="11"/>
    </row>
    <row r="303" ht="15.75" customHeight="1">
      <c r="E303" s="11"/>
    </row>
    <row r="304" ht="15.75" customHeight="1">
      <c r="E304" s="11"/>
    </row>
    <row r="305" ht="15.75" customHeight="1">
      <c r="E305" s="11"/>
    </row>
    <row r="306" ht="15.75" customHeight="1">
      <c r="E306" s="11"/>
    </row>
    <row r="307" ht="15.75" customHeight="1">
      <c r="E307" s="11"/>
    </row>
    <row r="308" ht="15.75" customHeight="1">
      <c r="E308" s="11"/>
    </row>
    <row r="309" ht="15.75" customHeight="1">
      <c r="E309" s="11"/>
    </row>
    <row r="310" ht="15.75" customHeight="1">
      <c r="E310" s="11"/>
    </row>
    <row r="311" ht="15.75" customHeight="1">
      <c r="E311" s="11"/>
    </row>
    <row r="312" ht="15.75" customHeight="1">
      <c r="E312" s="11"/>
    </row>
    <row r="313" ht="15.75" customHeight="1">
      <c r="E313" s="11"/>
    </row>
    <row r="314" ht="15.75" customHeight="1">
      <c r="E314" s="11"/>
    </row>
    <row r="315" ht="15.75" customHeight="1">
      <c r="E315" s="11"/>
    </row>
    <row r="316" ht="15.75" customHeight="1">
      <c r="E316" s="11"/>
    </row>
    <row r="317" ht="15.75" customHeight="1">
      <c r="E317" s="11"/>
    </row>
    <row r="318" ht="15.75" customHeight="1">
      <c r="E318" s="11"/>
    </row>
    <row r="319" ht="15.75" customHeight="1">
      <c r="E319" s="11"/>
    </row>
    <row r="320" ht="15.75" customHeight="1">
      <c r="E320" s="11"/>
    </row>
    <row r="321" ht="15.75" customHeight="1">
      <c r="E321" s="11"/>
    </row>
    <row r="322" ht="15.75" customHeight="1">
      <c r="E322" s="11"/>
    </row>
    <row r="323" ht="15.75" customHeight="1">
      <c r="E323" s="11"/>
    </row>
    <row r="324" ht="15.75" customHeight="1">
      <c r="E324" s="11"/>
    </row>
    <row r="325" ht="15.75" customHeight="1">
      <c r="E325" s="11"/>
    </row>
    <row r="326" ht="15.75" customHeight="1">
      <c r="E326" s="11"/>
    </row>
    <row r="327" ht="15.75" customHeight="1">
      <c r="E327" s="11"/>
    </row>
    <row r="328" ht="15.75" customHeight="1">
      <c r="E328" s="11"/>
    </row>
    <row r="329" ht="15.75" customHeight="1">
      <c r="E329" s="11"/>
    </row>
    <row r="330" ht="15.75" customHeight="1">
      <c r="E330" s="11"/>
    </row>
    <row r="331" ht="15.75" customHeight="1">
      <c r="E331" s="11"/>
    </row>
    <row r="332" ht="15.75" customHeight="1">
      <c r="E332" s="11"/>
    </row>
    <row r="333" ht="15.75" customHeight="1">
      <c r="E333" s="11"/>
    </row>
    <row r="334" ht="15.75" customHeight="1">
      <c r="E334" s="11"/>
    </row>
    <row r="335" ht="15.75" customHeight="1">
      <c r="E335" s="11"/>
    </row>
    <row r="336" ht="15.75" customHeight="1">
      <c r="E336" s="11"/>
    </row>
    <row r="337" ht="15.75" customHeight="1">
      <c r="E337" s="11"/>
    </row>
    <row r="338" ht="15.75" customHeight="1">
      <c r="E338" s="11"/>
    </row>
    <row r="339" ht="15.75" customHeight="1">
      <c r="E339" s="11"/>
    </row>
    <row r="340" ht="15.75" customHeight="1">
      <c r="E340" s="11"/>
    </row>
    <row r="341" ht="15.75" customHeight="1">
      <c r="E341" s="11"/>
    </row>
    <row r="342" ht="15.75" customHeight="1">
      <c r="E342" s="11"/>
    </row>
    <row r="343" ht="15.75" customHeight="1">
      <c r="E343" s="11"/>
    </row>
    <row r="344" ht="15.75" customHeight="1">
      <c r="E344" s="11"/>
    </row>
    <row r="345" ht="15.75" customHeight="1">
      <c r="E345" s="11"/>
    </row>
    <row r="346" ht="15.75" customHeight="1">
      <c r="E346" s="11"/>
    </row>
    <row r="347" ht="15.75" customHeight="1">
      <c r="E347" s="11"/>
    </row>
    <row r="348" ht="15.75" customHeight="1">
      <c r="E348" s="11"/>
    </row>
    <row r="349" ht="15.75" customHeight="1">
      <c r="E349" s="11"/>
    </row>
    <row r="350" ht="15.75" customHeight="1">
      <c r="E350" s="11"/>
    </row>
    <row r="351" ht="15.75" customHeight="1">
      <c r="E351" s="11"/>
    </row>
    <row r="352" ht="15.75" customHeight="1">
      <c r="E352" s="11"/>
    </row>
    <row r="353" ht="15.75" customHeight="1">
      <c r="E353" s="11"/>
    </row>
    <row r="354" ht="15.75" customHeight="1">
      <c r="E354" s="11"/>
    </row>
    <row r="355" ht="15.75" customHeight="1">
      <c r="E355" s="11"/>
    </row>
    <row r="356" ht="15.75" customHeight="1">
      <c r="E356" s="11"/>
    </row>
    <row r="357" ht="15.75" customHeight="1">
      <c r="E357" s="11"/>
    </row>
    <row r="358" ht="15.75" customHeight="1">
      <c r="E358" s="11"/>
    </row>
    <row r="359" ht="15.75" customHeight="1">
      <c r="E359" s="11"/>
    </row>
    <row r="360" ht="15.75" customHeight="1">
      <c r="E360" s="11"/>
    </row>
    <row r="361" ht="15.75" customHeight="1">
      <c r="E361" s="11"/>
    </row>
    <row r="362" ht="15.75" customHeight="1">
      <c r="E362" s="11"/>
    </row>
    <row r="363" ht="15.75" customHeight="1">
      <c r="E363" s="11"/>
    </row>
    <row r="364" ht="15.75" customHeight="1">
      <c r="E364" s="11"/>
    </row>
    <row r="365" ht="15.75" customHeight="1">
      <c r="E365" s="11"/>
    </row>
    <row r="366" ht="15.75" customHeight="1">
      <c r="E366" s="11"/>
    </row>
    <row r="367" ht="15.75" customHeight="1">
      <c r="E367" s="11"/>
    </row>
    <row r="368" ht="15.75" customHeight="1">
      <c r="E368" s="11"/>
    </row>
    <row r="369" ht="15.75" customHeight="1">
      <c r="E369" s="11"/>
    </row>
    <row r="370" ht="15.75" customHeight="1">
      <c r="E370" s="11"/>
    </row>
    <row r="371" ht="15.75" customHeight="1">
      <c r="E371" s="11"/>
    </row>
    <row r="372" ht="15.75" customHeight="1">
      <c r="E372" s="11"/>
    </row>
    <row r="373" ht="15.75" customHeight="1">
      <c r="E373" s="11"/>
    </row>
    <row r="374" ht="15.75" customHeight="1">
      <c r="E374" s="11"/>
    </row>
    <row r="375" ht="15.75" customHeight="1">
      <c r="E375" s="11"/>
    </row>
    <row r="376" ht="15.75" customHeight="1">
      <c r="E376" s="11"/>
    </row>
    <row r="377" ht="15.75" customHeight="1">
      <c r="E377" s="11"/>
    </row>
    <row r="378" ht="15.75" customHeight="1">
      <c r="E378" s="11"/>
    </row>
    <row r="379" ht="15.75" customHeight="1">
      <c r="E379" s="11"/>
    </row>
    <row r="380" ht="15.75" customHeight="1">
      <c r="E380" s="11"/>
    </row>
    <row r="381" ht="15.75" customHeight="1">
      <c r="E381" s="11"/>
    </row>
    <row r="382" ht="15.75" customHeight="1">
      <c r="E382" s="11"/>
    </row>
    <row r="383" ht="15.75" customHeight="1">
      <c r="E383" s="11"/>
    </row>
    <row r="384" ht="15.75" customHeight="1">
      <c r="E384" s="11"/>
    </row>
    <row r="385" ht="15.75" customHeight="1">
      <c r="E385" s="11"/>
    </row>
    <row r="386" ht="15.75" customHeight="1">
      <c r="E386" s="11"/>
    </row>
    <row r="387" ht="15.75" customHeight="1">
      <c r="E387" s="11"/>
    </row>
    <row r="388" ht="15.75" customHeight="1">
      <c r="E388" s="11"/>
    </row>
    <row r="389" ht="15.75" customHeight="1">
      <c r="E389" s="11"/>
    </row>
    <row r="390" ht="15.75" customHeight="1">
      <c r="E390" s="11"/>
    </row>
    <row r="391" ht="15.75" customHeight="1">
      <c r="E391" s="11"/>
    </row>
    <row r="392" ht="15.75" customHeight="1">
      <c r="E392" s="11"/>
    </row>
    <row r="393" ht="15.75" customHeight="1">
      <c r="E393" s="11"/>
    </row>
    <row r="394" ht="15.75" customHeight="1">
      <c r="E394" s="11"/>
    </row>
    <row r="395" ht="15.75" customHeight="1">
      <c r="E395" s="11"/>
    </row>
    <row r="396" ht="15.75" customHeight="1">
      <c r="E396" s="11"/>
    </row>
    <row r="397" ht="15.75" customHeight="1">
      <c r="E397" s="11"/>
    </row>
    <row r="398" ht="15.75" customHeight="1">
      <c r="E398" s="11"/>
    </row>
    <row r="399" ht="15.75" customHeight="1">
      <c r="E399" s="11"/>
    </row>
    <row r="400" ht="15.75" customHeight="1">
      <c r="E400" s="11"/>
    </row>
    <row r="401" ht="15.75" customHeight="1">
      <c r="E401" s="11"/>
    </row>
    <row r="402" ht="15.75" customHeight="1">
      <c r="E402" s="11"/>
    </row>
    <row r="403" ht="15.75" customHeight="1">
      <c r="E403" s="11"/>
    </row>
    <row r="404" ht="15.75" customHeight="1">
      <c r="E404" s="11"/>
    </row>
    <row r="405" ht="15.75" customHeight="1">
      <c r="E405" s="11"/>
    </row>
    <row r="406" ht="15.75" customHeight="1">
      <c r="E406" s="11"/>
    </row>
    <row r="407" ht="15.75" customHeight="1">
      <c r="E407" s="11"/>
    </row>
    <row r="408" ht="15.75" customHeight="1">
      <c r="E408" s="11"/>
    </row>
    <row r="409" ht="15.75" customHeight="1">
      <c r="E409" s="11"/>
    </row>
    <row r="410" ht="15.75" customHeight="1">
      <c r="E410" s="11"/>
    </row>
    <row r="411" ht="15.75" customHeight="1">
      <c r="E411" s="11"/>
    </row>
    <row r="412" ht="15.75" customHeight="1">
      <c r="E412" s="11"/>
    </row>
    <row r="413" ht="15.75" customHeight="1">
      <c r="E413" s="11"/>
    </row>
    <row r="414" ht="15.75" customHeight="1">
      <c r="E414" s="11"/>
    </row>
    <row r="415" ht="15.75" customHeight="1">
      <c r="E415" s="11"/>
    </row>
    <row r="416" ht="15.75" customHeight="1">
      <c r="E416" s="11"/>
    </row>
    <row r="417" ht="15.75" customHeight="1">
      <c r="E417" s="11"/>
    </row>
    <row r="418" ht="15.75" customHeight="1">
      <c r="E418" s="11"/>
    </row>
    <row r="419" ht="15.75" customHeight="1">
      <c r="E419" s="11"/>
    </row>
    <row r="420" ht="15.75" customHeight="1">
      <c r="E420" s="11"/>
    </row>
    <row r="421" ht="15.75" customHeight="1">
      <c r="E421" s="11"/>
    </row>
    <row r="422" ht="15.75" customHeight="1">
      <c r="E422" s="11"/>
    </row>
    <row r="423" ht="15.75" customHeight="1">
      <c r="E423" s="11"/>
    </row>
    <row r="424" ht="15.75" customHeight="1">
      <c r="E424" s="11"/>
    </row>
    <row r="425" ht="15.75" customHeight="1">
      <c r="E425" s="11"/>
    </row>
    <row r="426" ht="15.75" customHeight="1">
      <c r="E426" s="11"/>
    </row>
    <row r="427" ht="15.75" customHeight="1">
      <c r="E427" s="11"/>
    </row>
    <row r="428" ht="15.75" customHeight="1">
      <c r="E428" s="11"/>
    </row>
    <row r="429" ht="15.75" customHeight="1">
      <c r="E429" s="11"/>
    </row>
    <row r="430" ht="15.75" customHeight="1">
      <c r="E430" s="11"/>
    </row>
    <row r="431" ht="15.75" customHeight="1">
      <c r="E431" s="11"/>
    </row>
    <row r="432" ht="15.75" customHeight="1">
      <c r="E432" s="11"/>
    </row>
    <row r="433" ht="15.75" customHeight="1">
      <c r="E433" s="11"/>
    </row>
    <row r="434" ht="15.75" customHeight="1">
      <c r="E434" s="11"/>
    </row>
    <row r="435" ht="15.75" customHeight="1">
      <c r="E435" s="11"/>
    </row>
    <row r="436" ht="15.75" customHeight="1">
      <c r="E436" s="11"/>
    </row>
    <row r="437" ht="15.75" customHeight="1">
      <c r="E437" s="11"/>
    </row>
    <row r="438" ht="15.75" customHeight="1">
      <c r="E438" s="11"/>
    </row>
    <row r="439" ht="15.75" customHeight="1">
      <c r="E439" s="11"/>
    </row>
    <row r="440" ht="15.75" customHeight="1">
      <c r="E440" s="11"/>
    </row>
    <row r="441" ht="15.75" customHeight="1">
      <c r="E441" s="11"/>
    </row>
    <row r="442" ht="15.75" customHeight="1">
      <c r="E442" s="11"/>
    </row>
    <row r="443" ht="15.75" customHeight="1">
      <c r="E443" s="11"/>
    </row>
    <row r="444" ht="15.75" customHeight="1">
      <c r="E444" s="11"/>
    </row>
    <row r="445" ht="15.75" customHeight="1">
      <c r="E445" s="11"/>
    </row>
    <row r="446" ht="15.75" customHeight="1">
      <c r="E446" s="11"/>
    </row>
    <row r="447" ht="15.75" customHeight="1">
      <c r="E447" s="11"/>
    </row>
    <row r="448" ht="15.75" customHeight="1">
      <c r="E448" s="11"/>
    </row>
    <row r="449" ht="15.75" customHeight="1">
      <c r="E449" s="11"/>
    </row>
    <row r="450" ht="15.75" customHeight="1">
      <c r="E450" s="11"/>
    </row>
    <row r="451" ht="15.75" customHeight="1">
      <c r="E451" s="11"/>
    </row>
    <row r="452" ht="15.75" customHeight="1">
      <c r="E452" s="11"/>
    </row>
    <row r="453" ht="15.75" customHeight="1">
      <c r="E453" s="11"/>
    </row>
    <row r="454" ht="15.75" customHeight="1">
      <c r="E454" s="11"/>
    </row>
    <row r="455" ht="15.75" customHeight="1">
      <c r="E455" s="11"/>
    </row>
    <row r="456" ht="15.75" customHeight="1">
      <c r="E456" s="11"/>
    </row>
    <row r="457" ht="15.75" customHeight="1">
      <c r="E457" s="11"/>
    </row>
    <row r="458" ht="15.75" customHeight="1">
      <c r="E458" s="11"/>
    </row>
    <row r="459" ht="15.75" customHeight="1">
      <c r="E459" s="11"/>
    </row>
    <row r="460" ht="15.75" customHeight="1">
      <c r="E460" s="11"/>
    </row>
    <row r="461" ht="15.75" customHeight="1">
      <c r="E461" s="11"/>
    </row>
    <row r="462" ht="15.75" customHeight="1">
      <c r="E462" s="11"/>
    </row>
    <row r="463" ht="15.75" customHeight="1">
      <c r="E463" s="11"/>
    </row>
    <row r="464" ht="15.75" customHeight="1">
      <c r="E464" s="11"/>
    </row>
    <row r="465" ht="15.75" customHeight="1">
      <c r="E465" s="11"/>
    </row>
    <row r="466" ht="15.75" customHeight="1">
      <c r="E466" s="11"/>
    </row>
    <row r="467" ht="15.75" customHeight="1">
      <c r="E467" s="11"/>
    </row>
    <row r="468" ht="15.75" customHeight="1">
      <c r="E468" s="11"/>
    </row>
    <row r="469" ht="15.75" customHeight="1">
      <c r="E469" s="11"/>
    </row>
    <row r="470" ht="15.75" customHeight="1">
      <c r="E470" s="11"/>
    </row>
    <row r="471" ht="15.75" customHeight="1">
      <c r="E471" s="11"/>
    </row>
    <row r="472" ht="15.75" customHeight="1">
      <c r="E472" s="11"/>
    </row>
    <row r="473" ht="15.75" customHeight="1">
      <c r="E473" s="11"/>
    </row>
    <row r="474" ht="15.75" customHeight="1">
      <c r="E474" s="11"/>
    </row>
    <row r="475" ht="15.75" customHeight="1">
      <c r="E475" s="11"/>
    </row>
    <row r="476" ht="15.75" customHeight="1">
      <c r="E476" s="11"/>
    </row>
    <row r="477" ht="15.75" customHeight="1">
      <c r="E477" s="11"/>
    </row>
    <row r="478" ht="15.75" customHeight="1">
      <c r="E478" s="11"/>
    </row>
    <row r="479" ht="15.75" customHeight="1">
      <c r="E479" s="11"/>
    </row>
    <row r="480" ht="15.75" customHeight="1">
      <c r="E480" s="11"/>
    </row>
    <row r="481" ht="15.75" customHeight="1">
      <c r="E481" s="11"/>
    </row>
    <row r="482" ht="15.75" customHeight="1">
      <c r="E482" s="11"/>
    </row>
    <row r="483" ht="15.75" customHeight="1">
      <c r="E483" s="11"/>
    </row>
    <row r="484" ht="15.75" customHeight="1">
      <c r="E484" s="11"/>
    </row>
    <row r="485" ht="15.75" customHeight="1">
      <c r="E485" s="11"/>
    </row>
    <row r="486" ht="15.75" customHeight="1">
      <c r="E486" s="11"/>
    </row>
    <row r="487" ht="15.75" customHeight="1">
      <c r="E487" s="11"/>
    </row>
    <row r="488" ht="15.75" customHeight="1">
      <c r="E488" s="11"/>
    </row>
    <row r="489" ht="15.75" customHeight="1">
      <c r="E489" s="11"/>
    </row>
    <row r="490" ht="15.75" customHeight="1">
      <c r="E490" s="11"/>
    </row>
    <row r="491" ht="15.75" customHeight="1">
      <c r="E491" s="11"/>
    </row>
    <row r="492" ht="15.75" customHeight="1">
      <c r="E492" s="11"/>
    </row>
    <row r="493" ht="15.75" customHeight="1">
      <c r="E493" s="11"/>
    </row>
    <row r="494" ht="15.75" customHeight="1">
      <c r="E494" s="11"/>
    </row>
    <row r="495" ht="15.75" customHeight="1">
      <c r="E495" s="11"/>
    </row>
    <row r="496" ht="15.75" customHeight="1">
      <c r="E496" s="11"/>
    </row>
    <row r="497" ht="15.75" customHeight="1">
      <c r="E497" s="11"/>
    </row>
    <row r="498" ht="15.75" customHeight="1">
      <c r="E498" s="11"/>
    </row>
    <row r="499" ht="15.75" customHeight="1">
      <c r="E499" s="11"/>
    </row>
    <row r="500" ht="15.75" customHeight="1">
      <c r="E500" s="11"/>
    </row>
    <row r="501" ht="15.75" customHeight="1">
      <c r="E501" s="11"/>
    </row>
    <row r="502" ht="15.75" customHeight="1">
      <c r="E502" s="11"/>
    </row>
    <row r="503" ht="15.75" customHeight="1">
      <c r="E503" s="11"/>
    </row>
    <row r="504" ht="15.75" customHeight="1">
      <c r="E504" s="11"/>
    </row>
    <row r="505" ht="15.75" customHeight="1">
      <c r="E505" s="11"/>
    </row>
    <row r="506" ht="15.75" customHeight="1">
      <c r="E506" s="11"/>
    </row>
    <row r="507" ht="15.75" customHeight="1">
      <c r="E507" s="11"/>
    </row>
    <row r="508" ht="15.75" customHeight="1">
      <c r="E508" s="11"/>
    </row>
    <row r="509" ht="15.75" customHeight="1">
      <c r="E509" s="11"/>
    </row>
    <row r="510" ht="15.75" customHeight="1">
      <c r="E510" s="11"/>
    </row>
    <row r="511" ht="15.75" customHeight="1">
      <c r="E511" s="11"/>
    </row>
    <row r="512" ht="15.75" customHeight="1">
      <c r="E512" s="11"/>
    </row>
    <row r="513" ht="15.75" customHeight="1">
      <c r="E513" s="11"/>
    </row>
    <row r="514" ht="15.75" customHeight="1">
      <c r="E514" s="11"/>
    </row>
    <row r="515" ht="15.75" customHeight="1">
      <c r="E515" s="11"/>
    </row>
    <row r="516" ht="15.75" customHeight="1">
      <c r="E516" s="11"/>
    </row>
    <row r="517" ht="15.75" customHeight="1">
      <c r="E517" s="11"/>
    </row>
    <row r="518" ht="15.75" customHeight="1">
      <c r="E518" s="11"/>
    </row>
    <row r="519" ht="15.75" customHeight="1">
      <c r="E519" s="11"/>
    </row>
    <row r="520" ht="15.75" customHeight="1">
      <c r="E520" s="11"/>
    </row>
    <row r="521" ht="15.75" customHeight="1">
      <c r="E521" s="11"/>
    </row>
    <row r="522" ht="15.75" customHeight="1">
      <c r="E522" s="11"/>
    </row>
    <row r="523" ht="15.75" customHeight="1">
      <c r="E523" s="11"/>
    </row>
    <row r="524" ht="15.75" customHeight="1">
      <c r="E524" s="11"/>
    </row>
    <row r="525" ht="15.75" customHeight="1">
      <c r="E525" s="11"/>
    </row>
    <row r="526" ht="15.75" customHeight="1">
      <c r="E526" s="11"/>
    </row>
    <row r="527" ht="15.75" customHeight="1">
      <c r="E527" s="11"/>
    </row>
    <row r="528" ht="15.75" customHeight="1">
      <c r="E528" s="11"/>
    </row>
    <row r="529" ht="15.75" customHeight="1">
      <c r="E529" s="11"/>
    </row>
    <row r="530" ht="15.75" customHeight="1">
      <c r="E530" s="11"/>
    </row>
    <row r="531" ht="15.75" customHeight="1">
      <c r="E531" s="11"/>
    </row>
    <row r="532" ht="15.75" customHeight="1">
      <c r="E532" s="11"/>
    </row>
    <row r="533" ht="15.75" customHeight="1">
      <c r="E533" s="11"/>
    </row>
    <row r="534" ht="15.75" customHeight="1">
      <c r="E534" s="11"/>
    </row>
    <row r="535" ht="15.75" customHeight="1">
      <c r="E535" s="11"/>
    </row>
    <row r="536" ht="15.75" customHeight="1">
      <c r="E536" s="11"/>
    </row>
    <row r="537" ht="15.75" customHeight="1">
      <c r="E537" s="11"/>
    </row>
    <row r="538" ht="15.75" customHeight="1">
      <c r="E538" s="11"/>
    </row>
    <row r="539" ht="15.75" customHeight="1">
      <c r="E539" s="11"/>
    </row>
    <row r="540" ht="15.75" customHeight="1">
      <c r="E540" s="11"/>
    </row>
    <row r="541" ht="15.75" customHeight="1">
      <c r="E541" s="11"/>
    </row>
    <row r="542" ht="15.75" customHeight="1">
      <c r="E542" s="11"/>
    </row>
    <row r="543" ht="15.75" customHeight="1">
      <c r="E543" s="11"/>
    </row>
    <row r="544" ht="15.75" customHeight="1">
      <c r="E544" s="11"/>
    </row>
    <row r="545" ht="15.75" customHeight="1">
      <c r="E545" s="11"/>
    </row>
    <row r="546" ht="15.75" customHeight="1">
      <c r="E546" s="11"/>
    </row>
    <row r="547" ht="15.75" customHeight="1">
      <c r="E547" s="11"/>
    </row>
    <row r="548" ht="15.75" customHeight="1">
      <c r="E548" s="11"/>
    </row>
    <row r="549" ht="15.75" customHeight="1">
      <c r="E549" s="11"/>
    </row>
    <row r="550" ht="15.75" customHeight="1">
      <c r="E550" s="11"/>
    </row>
    <row r="551" ht="15.75" customHeight="1">
      <c r="E551" s="11"/>
    </row>
    <row r="552" ht="15.75" customHeight="1">
      <c r="E552" s="11"/>
    </row>
    <row r="553" ht="15.75" customHeight="1">
      <c r="E553" s="11"/>
    </row>
    <row r="554" ht="15.75" customHeight="1">
      <c r="E554" s="11"/>
    </row>
    <row r="555" ht="15.75" customHeight="1">
      <c r="E555" s="11"/>
    </row>
    <row r="556" ht="15.75" customHeight="1">
      <c r="E556" s="11"/>
    </row>
    <row r="557" ht="15.75" customHeight="1">
      <c r="E557" s="11"/>
    </row>
    <row r="558" ht="15.75" customHeight="1">
      <c r="E558" s="11"/>
    </row>
    <row r="559" ht="15.75" customHeight="1">
      <c r="E559" s="11"/>
    </row>
    <row r="560" ht="15.75" customHeight="1">
      <c r="E560" s="11"/>
    </row>
    <row r="561" ht="15.75" customHeight="1">
      <c r="E561" s="11"/>
    </row>
    <row r="562" ht="15.75" customHeight="1">
      <c r="E562" s="11"/>
    </row>
    <row r="563" ht="15.75" customHeight="1">
      <c r="E563" s="11"/>
    </row>
    <row r="564" ht="15.75" customHeight="1">
      <c r="E564" s="11"/>
    </row>
    <row r="565" ht="15.75" customHeight="1">
      <c r="E565" s="11"/>
    </row>
    <row r="566" ht="15.75" customHeight="1">
      <c r="E566" s="11"/>
    </row>
    <row r="567" ht="15.75" customHeight="1">
      <c r="E567" s="11"/>
    </row>
    <row r="568" ht="15.75" customHeight="1">
      <c r="E568" s="11"/>
    </row>
    <row r="569" ht="15.75" customHeight="1">
      <c r="E569" s="11"/>
    </row>
    <row r="570" ht="15.75" customHeight="1">
      <c r="E570" s="11"/>
    </row>
    <row r="571" ht="15.75" customHeight="1">
      <c r="E571" s="11"/>
    </row>
    <row r="572" ht="15.75" customHeight="1">
      <c r="E572" s="11"/>
    </row>
    <row r="573" ht="15.75" customHeight="1">
      <c r="E573" s="11"/>
    </row>
    <row r="574" ht="15.75" customHeight="1">
      <c r="E574" s="11"/>
    </row>
    <row r="575" ht="15.75" customHeight="1">
      <c r="E575" s="11"/>
    </row>
    <row r="576" ht="15.75" customHeight="1">
      <c r="E576" s="11"/>
    </row>
    <row r="577" ht="15.75" customHeight="1">
      <c r="E577" s="11"/>
    </row>
    <row r="578" ht="15.75" customHeight="1">
      <c r="E578" s="11"/>
    </row>
    <row r="579" ht="15.75" customHeight="1">
      <c r="E579" s="11"/>
    </row>
    <row r="580" ht="15.75" customHeight="1">
      <c r="E580" s="11"/>
    </row>
    <row r="581" ht="15.75" customHeight="1">
      <c r="E581" s="11"/>
    </row>
    <row r="582" ht="15.75" customHeight="1">
      <c r="E582" s="11"/>
    </row>
    <row r="583" ht="15.75" customHeight="1">
      <c r="E583" s="11"/>
    </row>
    <row r="584" ht="15.75" customHeight="1">
      <c r="E584" s="11"/>
    </row>
    <row r="585" ht="15.75" customHeight="1">
      <c r="E585" s="11"/>
    </row>
    <row r="586" ht="15.75" customHeight="1">
      <c r="E586" s="11"/>
    </row>
    <row r="587" ht="15.75" customHeight="1">
      <c r="E587" s="11"/>
    </row>
    <row r="588" ht="15.75" customHeight="1">
      <c r="E588" s="11"/>
    </row>
    <row r="589" ht="15.75" customHeight="1">
      <c r="E589" s="11"/>
    </row>
    <row r="590" ht="15.75" customHeight="1">
      <c r="E590" s="11"/>
    </row>
    <row r="591" ht="15.75" customHeight="1">
      <c r="E591" s="11"/>
    </row>
    <row r="592" ht="15.75" customHeight="1">
      <c r="E592" s="11"/>
    </row>
    <row r="593" ht="15.75" customHeight="1">
      <c r="E593" s="11"/>
    </row>
    <row r="594" ht="15.75" customHeight="1">
      <c r="E594" s="11"/>
    </row>
    <row r="595" ht="15.75" customHeight="1">
      <c r="E595" s="11"/>
    </row>
    <row r="596" ht="15.75" customHeight="1">
      <c r="E596" s="11"/>
    </row>
    <row r="597" ht="15.75" customHeight="1">
      <c r="E597" s="11"/>
    </row>
    <row r="598" ht="15.75" customHeight="1">
      <c r="E598" s="11"/>
    </row>
    <row r="599" ht="15.75" customHeight="1">
      <c r="E599" s="11"/>
    </row>
    <row r="600" ht="15.75" customHeight="1">
      <c r="E600" s="11"/>
    </row>
    <row r="601" ht="15.75" customHeight="1">
      <c r="E601" s="11"/>
    </row>
    <row r="602" ht="15.75" customHeight="1">
      <c r="E602" s="11"/>
    </row>
    <row r="603" ht="15.75" customHeight="1">
      <c r="E603" s="11"/>
    </row>
    <row r="604" ht="15.75" customHeight="1">
      <c r="E604" s="11"/>
    </row>
    <row r="605" ht="15.75" customHeight="1">
      <c r="E605" s="11"/>
    </row>
    <row r="606" ht="15.75" customHeight="1">
      <c r="E606" s="11"/>
    </row>
    <row r="607" ht="15.75" customHeight="1">
      <c r="E607" s="11"/>
    </row>
    <row r="608" ht="15.75" customHeight="1">
      <c r="E608" s="11"/>
    </row>
    <row r="609" ht="15.75" customHeight="1">
      <c r="E609" s="11"/>
    </row>
    <row r="610" ht="15.75" customHeight="1">
      <c r="E610" s="11"/>
    </row>
    <row r="611" ht="15.75" customHeight="1">
      <c r="E611" s="11"/>
    </row>
    <row r="612" ht="15.75" customHeight="1">
      <c r="E612" s="11"/>
    </row>
    <row r="613" ht="15.75" customHeight="1">
      <c r="E613" s="11"/>
    </row>
    <row r="614" ht="15.75" customHeight="1">
      <c r="E614" s="11"/>
    </row>
    <row r="615" ht="15.75" customHeight="1">
      <c r="E615" s="11"/>
    </row>
    <row r="616" ht="15.75" customHeight="1">
      <c r="E616" s="11"/>
    </row>
    <row r="617" ht="15.75" customHeight="1">
      <c r="E617" s="11"/>
    </row>
    <row r="618" ht="15.75" customHeight="1">
      <c r="E618" s="11"/>
    </row>
    <row r="619" ht="15.75" customHeight="1">
      <c r="E619" s="11"/>
    </row>
    <row r="620" ht="15.75" customHeight="1">
      <c r="E620" s="11"/>
    </row>
    <row r="621" ht="15.75" customHeight="1">
      <c r="E621" s="11"/>
    </row>
    <row r="622" ht="15.75" customHeight="1">
      <c r="E622" s="11"/>
    </row>
    <row r="623" ht="15.75" customHeight="1">
      <c r="E623" s="11"/>
    </row>
    <row r="624" ht="15.75" customHeight="1">
      <c r="E624" s="11"/>
    </row>
    <row r="625" ht="15.75" customHeight="1">
      <c r="E625" s="11"/>
    </row>
    <row r="626" ht="15.75" customHeight="1">
      <c r="E626" s="11"/>
    </row>
    <row r="627" ht="15.75" customHeight="1">
      <c r="E627" s="11"/>
    </row>
    <row r="628" ht="15.75" customHeight="1">
      <c r="E628" s="11"/>
    </row>
    <row r="629" ht="15.75" customHeight="1">
      <c r="E629" s="11"/>
    </row>
    <row r="630" ht="15.75" customHeight="1">
      <c r="E630" s="11"/>
    </row>
    <row r="631" ht="15.75" customHeight="1">
      <c r="E631" s="11"/>
    </row>
    <row r="632" ht="15.75" customHeight="1">
      <c r="E632" s="11"/>
    </row>
    <row r="633" ht="15.75" customHeight="1">
      <c r="E633" s="11"/>
    </row>
    <row r="634" ht="15.75" customHeight="1">
      <c r="E634" s="11"/>
    </row>
    <row r="635" ht="15.75" customHeight="1">
      <c r="E635" s="11"/>
    </row>
    <row r="636" ht="15.75" customHeight="1">
      <c r="E636" s="11"/>
    </row>
    <row r="637" ht="15.75" customHeight="1">
      <c r="E637" s="11"/>
    </row>
    <row r="638" ht="15.75" customHeight="1">
      <c r="E638" s="11"/>
    </row>
    <row r="639" ht="15.75" customHeight="1">
      <c r="E639" s="11"/>
    </row>
    <row r="640" ht="15.75" customHeight="1">
      <c r="E640" s="11"/>
    </row>
    <row r="641" ht="15.75" customHeight="1">
      <c r="E641" s="11"/>
    </row>
    <row r="642" ht="15.75" customHeight="1">
      <c r="E642" s="11"/>
    </row>
    <row r="643" ht="15.75" customHeight="1">
      <c r="E643" s="11"/>
    </row>
    <row r="644" ht="15.75" customHeight="1">
      <c r="E644" s="11"/>
    </row>
    <row r="645" ht="15.75" customHeight="1">
      <c r="E645" s="11"/>
    </row>
    <row r="646" ht="15.75" customHeight="1">
      <c r="E646" s="11"/>
    </row>
    <row r="647" ht="15.75" customHeight="1">
      <c r="E647" s="11"/>
    </row>
    <row r="648" ht="15.75" customHeight="1">
      <c r="E648" s="11"/>
    </row>
    <row r="649" ht="15.75" customHeight="1">
      <c r="E649" s="11"/>
    </row>
    <row r="650" ht="15.75" customHeight="1">
      <c r="E650" s="11"/>
    </row>
    <row r="651" ht="15.75" customHeight="1">
      <c r="E651" s="11"/>
    </row>
    <row r="652" ht="15.75" customHeight="1">
      <c r="E652" s="11"/>
    </row>
    <row r="653" ht="15.75" customHeight="1">
      <c r="E653" s="11"/>
    </row>
    <row r="654" ht="15.75" customHeight="1">
      <c r="E654" s="11"/>
    </row>
    <row r="655" ht="15.75" customHeight="1">
      <c r="E655" s="11"/>
    </row>
    <row r="656" ht="15.75" customHeight="1">
      <c r="E656" s="11"/>
    </row>
    <row r="657" ht="15.75" customHeight="1">
      <c r="E657" s="11"/>
    </row>
    <row r="658" ht="15.75" customHeight="1">
      <c r="E658" s="11"/>
    </row>
    <row r="659" ht="15.75" customHeight="1">
      <c r="E659" s="11"/>
    </row>
    <row r="660" ht="15.75" customHeight="1">
      <c r="E660" s="11"/>
    </row>
    <row r="661" ht="15.75" customHeight="1">
      <c r="E661" s="11"/>
    </row>
    <row r="662" ht="15.75" customHeight="1">
      <c r="E662" s="11"/>
    </row>
    <row r="663" ht="15.75" customHeight="1">
      <c r="E663" s="11"/>
    </row>
    <row r="664" ht="15.75" customHeight="1">
      <c r="E664" s="11"/>
    </row>
    <row r="665" ht="15.75" customHeight="1">
      <c r="E665" s="11"/>
    </row>
    <row r="666" ht="15.75" customHeight="1">
      <c r="E666" s="11"/>
    </row>
    <row r="667" ht="15.75" customHeight="1">
      <c r="E667" s="11"/>
    </row>
    <row r="668" ht="15.75" customHeight="1">
      <c r="E668" s="11"/>
    </row>
    <row r="669" ht="15.75" customHeight="1">
      <c r="E669" s="11"/>
    </row>
    <row r="670" ht="15.75" customHeight="1">
      <c r="E670" s="11"/>
    </row>
    <row r="671" ht="15.75" customHeight="1">
      <c r="E671" s="11"/>
    </row>
    <row r="672" ht="15.75" customHeight="1">
      <c r="E672" s="11"/>
    </row>
    <row r="673" ht="15.75" customHeight="1">
      <c r="E673" s="11"/>
    </row>
    <row r="674" ht="15.75" customHeight="1">
      <c r="E674" s="11"/>
    </row>
    <row r="675" ht="15.75" customHeight="1">
      <c r="E675" s="11"/>
    </row>
    <row r="676" ht="15.75" customHeight="1">
      <c r="E676" s="11"/>
    </row>
    <row r="677" ht="15.75" customHeight="1">
      <c r="E677" s="11"/>
    </row>
    <row r="678" ht="15.75" customHeight="1">
      <c r="E678" s="11"/>
    </row>
    <row r="679" ht="15.75" customHeight="1">
      <c r="E679" s="11"/>
    </row>
    <row r="680" ht="15.75" customHeight="1">
      <c r="E680" s="11"/>
    </row>
    <row r="681" ht="15.75" customHeight="1">
      <c r="E681" s="11"/>
    </row>
    <row r="682" ht="15.75" customHeight="1">
      <c r="E682" s="11"/>
    </row>
    <row r="683" ht="15.75" customHeight="1">
      <c r="E683" s="11"/>
    </row>
    <row r="684" ht="15.75" customHeight="1">
      <c r="E684" s="11"/>
    </row>
    <row r="685" ht="15.75" customHeight="1">
      <c r="E685" s="11"/>
    </row>
    <row r="686" ht="15.75" customHeight="1">
      <c r="E686" s="11"/>
    </row>
    <row r="687" ht="15.75" customHeight="1">
      <c r="E687" s="11"/>
    </row>
    <row r="688" ht="15.75" customHeight="1">
      <c r="E688" s="11"/>
    </row>
    <row r="689" ht="15.75" customHeight="1">
      <c r="E689" s="11"/>
    </row>
    <row r="690" ht="15.75" customHeight="1">
      <c r="E690" s="11"/>
    </row>
    <row r="691" ht="15.75" customHeight="1">
      <c r="E691" s="11"/>
    </row>
    <row r="692" ht="15.75" customHeight="1">
      <c r="E692" s="11"/>
    </row>
    <row r="693" ht="15.75" customHeight="1">
      <c r="E693" s="11"/>
    </row>
    <row r="694" ht="15.75" customHeight="1">
      <c r="E694" s="11"/>
    </row>
    <row r="695" ht="15.75" customHeight="1">
      <c r="E695" s="11"/>
    </row>
    <row r="696" ht="15.75" customHeight="1">
      <c r="E696" s="11"/>
    </row>
    <row r="697" ht="15.75" customHeight="1">
      <c r="E697" s="11"/>
    </row>
    <row r="698" ht="15.75" customHeight="1">
      <c r="E698" s="11"/>
    </row>
    <row r="699" ht="15.75" customHeight="1">
      <c r="E699" s="11"/>
    </row>
    <row r="700" ht="15.75" customHeight="1">
      <c r="E700" s="11"/>
    </row>
    <row r="701" ht="15.75" customHeight="1">
      <c r="E701" s="11"/>
    </row>
    <row r="702" ht="15.75" customHeight="1">
      <c r="E702" s="11"/>
    </row>
    <row r="703" ht="15.75" customHeight="1">
      <c r="E703" s="11"/>
    </row>
    <row r="704" ht="15.75" customHeight="1">
      <c r="E704" s="11"/>
    </row>
    <row r="705" ht="15.75" customHeight="1">
      <c r="E705" s="11"/>
    </row>
    <row r="706" ht="15.75" customHeight="1">
      <c r="E706" s="11"/>
    </row>
    <row r="707" ht="15.75" customHeight="1">
      <c r="E707" s="11"/>
    </row>
    <row r="708" ht="15.75" customHeight="1">
      <c r="E708" s="11"/>
    </row>
    <row r="709" ht="15.75" customHeight="1">
      <c r="E709" s="11"/>
    </row>
    <row r="710" ht="15.75" customHeight="1">
      <c r="E710" s="11"/>
    </row>
    <row r="711" ht="15.75" customHeight="1">
      <c r="E711" s="11"/>
    </row>
    <row r="712" ht="15.75" customHeight="1">
      <c r="E712" s="11"/>
    </row>
    <row r="713" ht="15.75" customHeight="1">
      <c r="E713" s="11"/>
    </row>
    <row r="714" ht="15.75" customHeight="1">
      <c r="E714" s="11"/>
    </row>
    <row r="715" ht="15.75" customHeight="1">
      <c r="E715" s="11"/>
    </row>
    <row r="716" ht="15.75" customHeight="1">
      <c r="E716" s="11"/>
    </row>
    <row r="717" ht="15.75" customHeight="1">
      <c r="E717" s="11"/>
    </row>
    <row r="718" ht="15.75" customHeight="1">
      <c r="E718" s="11"/>
    </row>
    <row r="719" ht="15.75" customHeight="1">
      <c r="E719" s="11"/>
    </row>
    <row r="720" ht="15.75" customHeight="1">
      <c r="E720" s="11"/>
    </row>
    <row r="721" ht="15.75" customHeight="1">
      <c r="E721" s="11"/>
    </row>
    <row r="722" ht="15.75" customHeight="1">
      <c r="E722" s="11"/>
    </row>
    <row r="723" ht="15.75" customHeight="1">
      <c r="E723" s="11"/>
    </row>
    <row r="724" ht="15.75" customHeight="1">
      <c r="E724" s="11"/>
    </row>
    <row r="725" ht="15.75" customHeight="1">
      <c r="E725" s="11"/>
    </row>
    <row r="726" ht="15.75" customHeight="1">
      <c r="E726" s="11"/>
    </row>
    <row r="727" ht="15.75" customHeight="1">
      <c r="E727" s="11"/>
    </row>
    <row r="728" ht="15.75" customHeight="1">
      <c r="E728" s="11"/>
    </row>
    <row r="729" ht="15.75" customHeight="1">
      <c r="E729" s="11"/>
    </row>
    <row r="730" ht="15.75" customHeight="1">
      <c r="E730" s="11"/>
    </row>
    <row r="731" ht="15.75" customHeight="1">
      <c r="E731" s="11"/>
    </row>
    <row r="732" ht="15.75" customHeight="1">
      <c r="E732" s="11"/>
    </row>
    <row r="733" ht="15.75" customHeight="1">
      <c r="E733" s="11"/>
    </row>
    <row r="734" ht="15.75" customHeight="1">
      <c r="E734" s="11"/>
    </row>
    <row r="735" ht="15.75" customHeight="1">
      <c r="E735" s="11"/>
    </row>
    <row r="736" ht="15.75" customHeight="1">
      <c r="E736" s="11"/>
    </row>
    <row r="737" ht="15.75" customHeight="1">
      <c r="E737" s="11"/>
    </row>
    <row r="738" ht="15.75" customHeight="1">
      <c r="E738" s="11"/>
    </row>
    <row r="739" ht="15.75" customHeight="1">
      <c r="E739" s="11"/>
    </row>
    <row r="740" ht="15.75" customHeight="1">
      <c r="E740" s="11"/>
    </row>
    <row r="741" ht="15.75" customHeight="1">
      <c r="E741" s="11"/>
    </row>
    <row r="742" ht="15.75" customHeight="1">
      <c r="E742" s="11"/>
    </row>
    <row r="743" ht="15.75" customHeight="1">
      <c r="E743" s="11"/>
    </row>
    <row r="744" ht="15.75" customHeight="1">
      <c r="E744" s="11"/>
    </row>
    <row r="745" ht="15.75" customHeight="1">
      <c r="E745" s="11"/>
    </row>
    <row r="746" ht="15.75" customHeight="1">
      <c r="E746" s="11"/>
    </row>
    <row r="747" ht="15.75" customHeight="1">
      <c r="E747" s="11"/>
    </row>
    <row r="748" ht="15.75" customHeight="1">
      <c r="E748" s="11"/>
    </row>
    <row r="749" ht="15.75" customHeight="1">
      <c r="E749" s="11"/>
    </row>
    <row r="750" ht="15.75" customHeight="1">
      <c r="E750" s="11"/>
    </row>
    <row r="751" ht="15.75" customHeight="1">
      <c r="E751" s="11"/>
    </row>
    <row r="752" ht="15.75" customHeight="1">
      <c r="E752" s="11"/>
    </row>
    <row r="753" ht="15.75" customHeight="1">
      <c r="E753" s="11"/>
    </row>
    <row r="754" ht="15.75" customHeight="1">
      <c r="E754" s="11"/>
    </row>
    <row r="755" ht="15.75" customHeight="1">
      <c r="E755" s="11"/>
    </row>
    <row r="756" ht="15.75" customHeight="1">
      <c r="E756" s="11"/>
    </row>
    <row r="757" ht="15.75" customHeight="1">
      <c r="E757" s="11"/>
    </row>
    <row r="758" ht="15.75" customHeight="1">
      <c r="E758" s="11"/>
    </row>
    <row r="759" ht="15.75" customHeight="1">
      <c r="E759" s="11"/>
    </row>
    <row r="760" ht="15.75" customHeight="1">
      <c r="E760" s="11"/>
    </row>
    <row r="761" ht="15.75" customHeight="1">
      <c r="E761" s="11"/>
    </row>
    <row r="762" ht="15.75" customHeight="1">
      <c r="E762" s="11"/>
    </row>
    <row r="763" ht="15.75" customHeight="1">
      <c r="E763" s="11"/>
    </row>
    <row r="764" ht="15.75" customHeight="1">
      <c r="E764" s="11"/>
    </row>
    <row r="765" ht="15.75" customHeight="1">
      <c r="E765" s="11"/>
    </row>
    <row r="766" ht="15.75" customHeight="1">
      <c r="E766" s="11"/>
    </row>
    <row r="767" ht="15.75" customHeight="1">
      <c r="E767" s="11"/>
    </row>
    <row r="768" ht="15.75" customHeight="1">
      <c r="E768" s="11"/>
    </row>
    <row r="769" ht="15.75" customHeight="1">
      <c r="E769" s="11"/>
    </row>
    <row r="770" ht="15.75" customHeight="1">
      <c r="E770" s="11"/>
    </row>
    <row r="771" ht="15.75" customHeight="1">
      <c r="E771" s="11"/>
    </row>
    <row r="772" ht="15.75" customHeight="1">
      <c r="E772" s="11"/>
    </row>
    <row r="773" ht="15.75" customHeight="1">
      <c r="E773" s="11"/>
    </row>
    <row r="774" ht="15.75" customHeight="1">
      <c r="E774" s="11"/>
    </row>
    <row r="775" ht="15.75" customHeight="1">
      <c r="E775" s="11"/>
    </row>
    <row r="776" ht="15.75" customHeight="1">
      <c r="E776" s="11"/>
    </row>
    <row r="777" ht="15.75" customHeight="1">
      <c r="E777" s="11"/>
    </row>
    <row r="778" ht="15.75" customHeight="1">
      <c r="E778" s="11"/>
    </row>
    <row r="779" ht="15.75" customHeight="1">
      <c r="E779" s="11"/>
    </row>
    <row r="780" ht="15.75" customHeight="1">
      <c r="E780" s="11"/>
    </row>
    <row r="781" ht="15.75" customHeight="1">
      <c r="E781" s="11"/>
    </row>
    <row r="782" ht="15.75" customHeight="1">
      <c r="E782" s="11"/>
    </row>
    <row r="783" ht="15.75" customHeight="1">
      <c r="E783" s="11"/>
    </row>
    <row r="784" ht="15.75" customHeight="1">
      <c r="E784" s="11"/>
    </row>
    <row r="785" ht="15.75" customHeight="1">
      <c r="E785" s="11"/>
    </row>
    <row r="786" ht="15.75" customHeight="1">
      <c r="E786" s="11"/>
    </row>
    <row r="787" ht="15.75" customHeight="1">
      <c r="E787" s="11"/>
    </row>
    <row r="788" ht="15.75" customHeight="1">
      <c r="E788" s="11"/>
    </row>
    <row r="789" ht="15.75" customHeight="1">
      <c r="E789" s="11"/>
    </row>
    <row r="790" ht="15.75" customHeight="1">
      <c r="E790" s="11"/>
    </row>
    <row r="791" ht="15.75" customHeight="1">
      <c r="E791" s="11"/>
    </row>
    <row r="792" ht="15.75" customHeight="1">
      <c r="E792" s="11"/>
    </row>
    <row r="793" ht="15.75" customHeight="1">
      <c r="E793" s="11"/>
    </row>
    <row r="794" ht="15.75" customHeight="1">
      <c r="E794" s="11"/>
    </row>
    <row r="795" ht="15.75" customHeight="1">
      <c r="E795" s="11"/>
    </row>
    <row r="796" ht="15.75" customHeight="1">
      <c r="E796" s="11"/>
    </row>
    <row r="797" ht="15.75" customHeight="1">
      <c r="E797" s="11"/>
    </row>
    <row r="798" ht="15.75" customHeight="1">
      <c r="E798" s="11"/>
    </row>
    <row r="799" ht="15.75" customHeight="1">
      <c r="E799" s="11"/>
    </row>
    <row r="800" ht="15.75" customHeight="1">
      <c r="E800" s="11"/>
    </row>
    <row r="801" ht="15.75" customHeight="1">
      <c r="E801" s="11"/>
    </row>
    <row r="802" ht="15.75" customHeight="1">
      <c r="E802" s="11"/>
    </row>
    <row r="803" ht="15.75" customHeight="1">
      <c r="E803" s="11"/>
    </row>
    <row r="804" ht="15.75" customHeight="1">
      <c r="E804" s="11"/>
    </row>
    <row r="805" ht="15.75" customHeight="1">
      <c r="E805" s="11"/>
    </row>
    <row r="806" ht="15.75" customHeight="1">
      <c r="E806" s="11"/>
    </row>
    <row r="807" ht="15.75" customHeight="1">
      <c r="E807" s="11"/>
    </row>
    <row r="808" ht="15.75" customHeight="1">
      <c r="E808" s="11"/>
    </row>
    <row r="809" ht="15.75" customHeight="1">
      <c r="E809" s="11"/>
    </row>
    <row r="810" ht="15.75" customHeight="1">
      <c r="E810" s="11"/>
    </row>
    <row r="811" ht="15.75" customHeight="1">
      <c r="E811" s="11"/>
    </row>
    <row r="812" ht="15.75" customHeight="1">
      <c r="E812" s="11"/>
    </row>
    <row r="813" ht="15.75" customHeight="1">
      <c r="E813" s="11"/>
    </row>
    <row r="814" ht="15.75" customHeight="1">
      <c r="E814" s="11"/>
    </row>
    <row r="815" ht="15.75" customHeight="1">
      <c r="E815" s="11"/>
    </row>
    <row r="816" ht="15.75" customHeight="1">
      <c r="E816" s="11"/>
    </row>
    <row r="817" ht="15.75" customHeight="1">
      <c r="E817" s="11"/>
    </row>
    <row r="818" ht="15.75" customHeight="1">
      <c r="E818" s="11"/>
    </row>
    <row r="819" ht="15.75" customHeight="1">
      <c r="E819" s="11"/>
    </row>
    <row r="820" ht="15.75" customHeight="1">
      <c r="E820" s="11"/>
    </row>
    <row r="821" ht="15.75" customHeight="1">
      <c r="E821" s="11"/>
    </row>
    <row r="822" ht="15.75" customHeight="1">
      <c r="E822" s="11"/>
    </row>
    <row r="823" ht="15.75" customHeight="1">
      <c r="E823" s="11"/>
    </row>
    <row r="824" ht="15.75" customHeight="1">
      <c r="E824" s="11"/>
    </row>
    <row r="825" ht="15.75" customHeight="1">
      <c r="E825" s="11"/>
    </row>
    <row r="826" ht="15.75" customHeight="1">
      <c r="E826" s="11"/>
    </row>
    <row r="827" ht="15.75" customHeight="1">
      <c r="E827" s="11"/>
    </row>
    <row r="828" ht="15.75" customHeight="1">
      <c r="E828" s="11"/>
    </row>
    <row r="829" ht="15.75" customHeight="1">
      <c r="E829" s="11"/>
    </row>
    <row r="830" ht="15.75" customHeight="1">
      <c r="E830" s="11"/>
    </row>
    <row r="831" ht="15.75" customHeight="1">
      <c r="E831" s="11"/>
    </row>
    <row r="832" ht="15.75" customHeight="1">
      <c r="E832" s="11"/>
    </row>
    <row r="833" ht="15.75" customHeight="1">
      <c r="E833" s="11"/>
    </row>
    <row r="834" ht="15.75" customHeight="1">
      <c r="E834" s="11"/>
    </row>
    <row r="835" ht="15.75" customHeight="1">
      <c r="E835" s="11"/>
    </row>
    <row r="836" ht="15.75" customHeight="1">
      <c r="E836" s="11"/>
    </row>
    <row r="837" ht="15.75" customHeight="1">
      <c r="E837" s="11"/>
    </row>
    <row r="838" ht="15.75" customHeight="1">
      <c r="E838" s="11"/>
    </row>
    <row r="839" ht="15.75" customHeight="1">
      <c r="E839" s="11"/>
    </row>
    <row r="840" ht="15.75" customHeight="1">
      <c r="E840" s="11"/>
    </row>
    <row r="841" ht="15.75" customHeight="1">
      <c r="E841" s="11"/>
    </row>
    <row r="842" ht="15.75" customHeight="1">
      <c r="E842" s="11"/>
    </row>
    <row r="843" ht="15.75" customHeight="1">
      <c r="E843" s="11"/>
    </row>
    <row r="844" ht="15.75" customHeight="1">
      <c r="E844" s="11"/>
    </row>
    <row r="845" ht="15.75" customHeight="1">
      <c r="E845" s="11"/>
    </row>
    <row r="846" ht="15.75" customHeight="1">
      <c r="E846" s="11"/>
    </row>
    <row r="847" ht="15.75" customHeight="1">
      <c r="E847" s="11"/>
    </row>
    <row r="848" ht="15.75" customHeight="1">
      <c r="E848" s="11"/>
    </row>
    <row r="849" ht="15.75" customHeight="1">
      <c r="E849" s="11"/>
    </row>
    <row r="850" ht="15.75" customHeight="1">
      <c r="E850" s="11"/>
    </row>
    <row r="851" ht="15.75" customHeight="1">
      <c r="E851" s="11"/>
    </row>
    <row r="852" ht="15.75" customHeight="1">
      <c r="E852" s="11"/>
    </row>
    <row r="853" ht="15.75" customHeight="1">
      <c r="E853" s="11"/>
    </row>
    <row r="854" ht="15.75" customHeight="1">
      <c r="E854" s="11"/>
    </row>
    <row r="855" ht="15.75" customHeight="1">
      <c r="E855" s="11"/>
    </row>
    <row r="856" ht="15.75" customHeight="1">
      <c r="E856" s="11"/>
    </row>
    <row r="857" ht="15.75" customHeight="1">
      <c r="E857" s="11"/>
    </row>
    <row r="858" ht="15.75" customHeight="1">
      <c r="E858" s="11"/>
    </row>
    <row r="859" ht="15.75" customHeight="1">
      <c r="E859" s="11"/>
    </row>
    <row r="860" ht="15.75" customHeight="1">
      <c r="E860" s="11"/>
    </row>
    <row r="861" ht="15.75" customHeight="1">
      <c r="E861" s="11"/>
    </row>
    <row r="862" ht="15.75" customHeight="1">
      <c r="E862" s="11"/>
    </row>
    <row r="863" ht="15.75" customHeight="1">
      <c r="E863" s="11"/>
    </row>
    <row r="864" ht="15.75" customHeight="1">
      <c r="E864" s="11"/>
    </row>
    <row r="865" ht="15.75" customHeight="1">
      <c r="E865" s="11"/>
    </row>
    <row r="866" ht="15.75" customHeight="1">
      <c r="E866" s="11"/>
    </row>
    <row r="867" ht="15.75" customHeight="1">
      <c r="E867" s="11"/>
    </row>
    <row r="868" ht="15.75" customHeight="1">
      <c r="E868" s="11"/>
    </row>
    <row r="869" ht="15.75" customHeight="1">
      <c r="E869" s="11"/>
    </row>
    <row r="870" ht="15.75" customHeight="1">
      <c r="E870" s="11"/>
    </row>
    <row r="871" ht="15.75" customHeight="1">
      <c r="E871" s="11"/>
    </row>
    <row r="872" ht="15.75" customHeight="1">
      <c r="E872" s="11"/>
    </row>
    <row r="873" ht="15.75" customHeight="1">
      <c r="E873" s="11"/>
    </row>
    <row r="874" ht="15.75" customHeight="1">
      <c r="E874" s="11"/>
    </row>
    <row r="875" ht="15.75" customHeight="1">
      <c r="E875" s="11"/>
    </row>
    <row r="876" ht="15.75" customHeight="1">
      <c r="E876" s="11"/>
    </row>
    <row r="877" ht="15.75" customHeight="1">
      <c r="E877" s="11"/>
    </row>
    <row r="878" ht="15.75" customHeight="1">
      <c r="E878" s="11"/>
    </row>
    <row r="879" ht="15.75" customHeight="1">
      <c r="E879" s="11"/>
    </row>
    <row r="880" ht="15.75" customHeight="1">
      <c r="E880" s="11"/>
    </row>
    <row r="881" ht="15.75" customHeight="1">
      <c r="E881" s="11"/>
    </row>
    <row r="882" ht="15.75" customHeight="1">
      <c r="E882" s="11"/>
    </row>
    <row r="883" ht="15.75" customHeight="1">
      <c r="E883" s="11"/>
    </row>
    <row r="884" ht="15.75" customHeight="1">
      <c r="E884" s="11"/>
    </row>
    <row r="885" ht="15.75" customHeight="1">
      <c r="E885" s="11"/>
    </row>
    <row r="886" ht="15.75" customHeight="1">
      <c r="E886" s="11"/>
    </row>
    <row r="887" ht="15.75" customHeight="1">
      <c r="E887" s="11"/>
    </row>
    <row r="888" ht="15.75" customHeight="1">
      <c r="E888" s="11"/>
    </row>
    <row r="889" ht="15.75" customHeight="1">
      <c r="E889" s="11"/>
    </row>
    <row r="890" ht="15.75" customHeight="1">
      <c r="E890" s="11"/>
    </row>
    <row r="891" ht="15.75" customHeight="1">
      <c r="E891" s="11"/>
    </row>
    <row r="892" ht="15.75" customHeight="1">
      <c r="E892" s="11"/>
    </row>
    <row r="893" ht="15.75" customHeight="1">
      <c r="E893" s="11"/>
    </row>
    <row r="894" ht="15.75" customHeight="1">
      <c r="E894" s="11"/>
    </row>
    <row r="895" ht="15.75" customHeight="1">
      <c r="E895" s="11"/>
    </row>
    <row r="896" ht="15.75" customHeight="1">
      <c r="E896" s="11"/>
    </row>
    <row r="897" ht="15.75" customHeight="1">
      <c r="E897" s="11"/>
    </row>
    <row r="898" ht="15.75" customHeight="1">
      <c r="E898" s="11"/>
    </row>
    <row r="899" ht="15.75" customHeight="1">
      <c r="E899" s="11"/>
    </row>
    <row r="900" ht="15.75" customHeight="1">
      <c r="E900" s="11"/>
    </row>
    <row r="901" ht="15.75" customHeight="1">
      <c r="E901" s="11"/>
    </row>
    <row r="902" ht="15.75" customHeight="1">
      <c r="E902" s="11"/>
    </row>
    <row r="903" ht="15.75" customHeight="1">
      <c r="E903" s="11"/>
    </row>
    <row r="904" ht="15.75" customHeight="1">
      <c r="E904" s="11"/>
    </row>
    <row r="905" ht="15.75" customHeight="1">
      <c r="E905" s="11"/>
    </row>
    <row r="906" ht="15.75" customHeight="1">
      <c r="E906" s="11"/>
    </row>
    <row r="907" ht="15.75" customHeight="1">
      <c r="E907" s="11"/>
    </row>
    <row r="908" ht="15.75" customHeight="1">
      <c r="E908" s="11"/>
    </row>
    <row r="909" ht="15.75" customHeight="1">
      <c r="E909" s="11"/>
    </row>
    <row r="910" ht="15.75" customHeight="1">
      <c r="E910" s="11"/>
    </row>
    <row r="911" ht="15.75" customHeight="1">
      <c r="E911" s="11"/>
    </row>
    <row r="912" ht="15.75" customHeight="1">
      <c r="E912" s="11"/>
    </row>
    <row r="913" ht="15.75" customHeight="1">
      <c r="E913" s="11"/>
    </row>
    <row r="914" ht="15.75" customHeight="1">
      <c r="E914" s="11"/>
    </row>
    <row r="915" ht="15.75" customHeight="1">
      <c r="E915" s="11"/>
    </row>
    <row r="916" ht="15.75" customHeight="1">
      <c r="E916" s="11"/>
    </row>
    <row r="917" ht="15.75" customHeight="1">
      <c r="E917" s="11"/>
    </row>
    <row r="918" ht="15.75" customHeight="1">
      <c r="E918" s="11"/>
    </row>
    <row r="919" ht="15.75" customHeight="1">
      <c r="E919" s="11"/>
    </row>
    <row r="920" ht="15.75" customHeight="1">
      <c r="E920" s="11"/>
    </row>
    <row r="921" ht="15.75" customHeight="1">
      <c r="E921" s="11"/>
    </row>
    <row r="922" ht="15.75" customHeight="1">
      <c r="E922" s="11"/>
    </row>
    <row r="923" ht="15.75" customHeight="1">
      <c r="E923" s="11"/>
    </row>
    <row r="924" ht="15.75" customHeight="1">
      <c r="E924" s="11"/>
    </row>
    <row r="925" ht="15.75" customHeight="1">
      <c r="E925" s="11"/>
    </row>
    <row r="926" ht="15.75" customHeight="1">
      <c r="E926" s="11"/>
    </row>
    <row r="927" ht="15.75" customHeight="1">
      <c r="E927" s="11"/>
    </row>
    <row r="928" ht="15.75" customHeight="1">
      <c r="E928" s="11"/>
    </row>
    <row r="929" ht="15.75" customHeight="1">
      <c r="E929" s="11"/>
    </row>
    <row r="930" ht="15.75" customHeight="1">
      <c r="E930" s="11"/>
    </row>
    <row r="931" ht="15.75" customHeight="1">
      <c r="E931" s="11"/>
    </row>
    <row r="932" ht="15.75" customHeight="1">
      <c r="E932" s="11"/>
    </row>
    <row r="933" ht="15.75" customHeight="1">
      <c r="E933" s="11"/>
    </row>
    <row r="934" ht="15.75" customHeight="1">
      <c r="E934" s="11"/>
    </row>
    <row r="935" ht="15.75" customHeight="1">
      <c r="E935" s="11"/>
    </row>
    <row r="936" ht="15.75" customHeight="1">
      <c r="E936" s="11"/>
    </row>
    <row r="937" ht="15.75" customHeight="1">
      <c r="E937" s="11"/>
    </row>
    <row r="938" ht="15.75" customHeight="1">
      <c r="E938" s="11"/>
    </row>
    <row r="939" ht="15.75" customHeight="1">
      <c r="E939" s="11"/>
    </row>
    <row r="940" ht="15.75" customHeight="1">
      <c r="E940" s="11"/>
    </row>
    <row r="941" ht="15.75" customHeight="1">
      <c r="E941" s="11"/>
    </row>
    <row r="942" ht="15.75" customHeight="1">
      <c r="E942" s="11"/>
    </row>
    <row r="943" ht="15.75" customHeight="1">
      <c r="E943" s="11"/>
    </row>
    <row r="944" ht="15.75" customHeight="1">
      <c r="E944" s="11"/>
    </row>
    <row r="945" ht="15.75" customHeight="1">
      <c r="E945" s="11"/>
    </row>
    <row r="946" ht="15.75" customHeight="1">
      <c r="E946" s="11"/>
    </row>
    <row r="947" ht="15.75" customHeight="1">
      <c r="E947" s="11"/>
    </row>
    <row r="948" ht="15.75" customHeight="1">
      <c r="E948" s="11"/>
    </row>
    <row r="949" ht="15.75" customHeight="1">
      <c r="E949" s="11"/>
    </row>
    <row r="950" ht="15.75" customHeight="1">
      <c r="E950" s="11"/>
    </row>
    <row r="951" ht="15.75" customHeight="1">
      <c r="E951" s="11"/>
    </row>
    <row r="952" ht="15.75" customHeight="1">
      <c r="E952" s="11"/>
    </row>
    <row r="953" ht="15.75" customHeight="1">
      <c r="E953" s="11"/>
    </row>
    <row r="954" ht="15.75" customHeight="1">
      <c r="E954" s="11"/>
    </row>
    <row r="955" ht="15.75" customHeight="1">
      <c r="E955" s="11"/>
    </row>
    <row r="956" ht="15.75" customHeight="1">
      <c r="E956" s="11"/>
    </row>
    <row r="957" ht="15.75" customHeight="1">
      <c r="E957" s="11"/>
    </row>
    <row r="958" ht="15.75" customHeight="1">
      <c r="E958" s="11"/>
    </row>
    <row r="959" ht="15.75" customHeight="1">
      <c r="E959" s="11"/>
    </row>
    <row r="960" ht="15.75" customHeight="1">
      <c r="E960" s="11"/>
    </row>
    <row r="961" ht="15.75" customHeight="1">
      <c r="E961" s="11"/>
    </row>
    <row r="962" ht="15.75" customHeight="1">
      <c r="E962" s="11"/>
    </row>
    <row r="963" ht="15.75" customHeight="1">
      <c r="E963" s="11"/>
    </row>
    <row r="964" ht="15.75" customHeight="1">
      <c r="E964" s="11"/>
    </row>
    <row r="965" ht="15.75" customHeight="1">
      <c r="E965" s="11"/>
    </row>
    <row r="966" ht="15.75" customHeight="1">
      <c r="E966" s="11"/>
    </row>
    <row r="967" ht="15.75" customHeight="1">
      <c r="E967" s="11"/>
    </row>
    <row r="968" ht="15.75" customHeight="1">
      <c r="E968" s="11"/>
    </row>
    <row r="969" ht="15.75" customHeight="1">
      <c r="E969" s="11"/>
    </row>
    <row r="970" ht="15.75" customHeight="1">
      <c r="E970" s="11"/>
    </row>
    <row r="971" ht="15.75" customHeight="1">
      <c r="E971" s="11"/>
    </row>
    <row r="972" ht="15.75" customHeight="1">
      <c r="E972" s="11"/>
    </row>
    <row r="973" ht="15.75" customHeight="1">
      <c r="E973" s="11"/>
    </row>
    <row r="974" ht="15.75" customHeight="1">
      <c r="E974" s="11"/>
    </row>
    <row r="975" ht="15.75" customHeight="1">
      <c r="E975" s="11"/>
    </row>
    <row r="976" ht="15.75" customHeight="1">
      <c r="E976" s="11"/>
    </row>
    <row r="977" ht="15.75" customHeight="1">
      <c r="E977" s="11"/>
    </row>
    <row r="978" ht="15.75" customHeight="1">
      <c r="E978" s="11"/>
    </row>
    <row r="979" ht="15.75" customHeight="1">
      <c r="E979" s="11"/>
    </row>
    <row r="980" ht="15.75" customHeight="1">
      <c r="E980" s="11"/>
    </row>
    <row r="981" ht="15.75" customHeight="1">
      <c r="E981" s="11"/>
    </row>
    <row r="982" ht="15.75" customHeight="1">
      <c r="E982" s="11"/>
    </row>
    <row r="983" ht="15.75" customHeight="1">
      <c r="E983" s="11"/>
    </row>
    <row r="984" ht="15.75" customHeight="1">
      <c r="E984" s="11"/>
    </row>
    <row r="985" ht="15.75" customHeight="1">
      <c r="E985" s="11"/>
    </row>
    <row r="986" ht="15.75" customHeight="1">
      <c r="E986" s="11"/>
    </row>
    <row r="987" ht="15.75" customHeight="1">
      <c r="E987" s="11"/>
    </row>
    <row r="988" ht="15.75" customHeight="1">
      <c r="E988" s="11"/>
    </row>
    <row r="989" ht="15.75" customHeight="1">
      <c r="E989" s="11"/>
    </row>
    <row r="990" ht="15.75" customHeight="1">
      <c r="E990" s="11"/>
    </row>
    <row r="991" ht="15.75" customHeight="1">
      <c r="E991" s="11"/>
    </row>
    <row r="992" ht="15.75" customHeight="1">
      <c r="E992" s="11"/>
    </row>
    <row r="993" ht="15.75" customHeight="1">
      <c r="E993" s="11"/>
    </row>
    <row r="994" ht="15.75" customHeight="1">
      <c r="E994" s="11"/>
    </row>
    <row r="995" ht="15.75" customHeight="1">
      <c r="E995" s="11"/>
    </row>
    <row r="996" ht="15.75" customHeight="1">
      <c r="E996" s="11"/>
    </row>
    <row r="997" ht="15.75" customHeight="1">
      <c r="E997" s="11"/>
    </row>
    <row r="998" ht="15.75" customHeight="1">
      <c r="E998" s="11"/>
    </row>
    <row r="999" ht="15.75" customHeight="1">
      <c r="E999" s="11"/>
    </row>
    <row r="1000" ht="15.75" customHeight="1">
      <c r="E1000" s="11"/>
    </row>
  </sheetData>
  <conditionalFormatting sqref="E2:E1000">
    <cfRule type="cellIs" dxfId="0" priority="1" operator="equal">
      <formula>"上場"</formula>
    </cfRule>
  </conditionalFormatting>
  <dataValidations>
    <dataValidation type="list" allowBlank="1" sqref="E2:E1000">
      <formula1>"上場,未上場"</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ht="15.75" customHeight="1">
      <c r="A1" s="2" t="s">
        <v>2265</v>
      </c>
      <c r="B1" s="2" t="s">
        <v>0</v>
      </c>
      <c r="C1" s="2" t="s">
        <v>2266</v>
      </c>
      <c r="D1" s="1" t="s">
        <v>2</v>
      </c>
      <c r="E1" s="2" t="s">
        <v>2760</v>
      </c>
      <c r="F1" s="2" t="s">
        <v>2256</v>
      </c>
      <c r="H1" s="2"/>
      <c r="I1" s="2"/>
      <c r="J1" s="2" t="s">
        <v>2271</v>
      </c>
      <c r="K1" s="2" t="s">
        <v>2287</v>
      </c>
      <c r="L1" s="2"/>
      <c r="M1" s="2"/>
      <c r="N1" s="2"/>
      <c r="O1" s="2"/>
      <c r="P1" s="2"/>
      <c r="Q1" s="2"/>
      <c r="R1" s="2"/>
      <c r="S1" s="2"/>
      <c r="T1" s="2"/>
      <c r="U1" s="2"/>
      <c r="V1" s="2"/>
      <c r="W1" s="2"/>
      <c r="X1" s="2"/>
      <c r="Y1" s="2"/>
      <c r="Z1" s="2"/>
      <c r="AA1" s="2"/>
      <c r="AB1" s="2"/>
    </row>
    <row r="2" ht="15.75" customHeight="1">
      <c r="D2" s="31"/>
      <c r="E2" s="11"/>
    </row>
    <row r="3" ht="15.75" customHeight="1">
      <c r="D3" s="31"/>
      <c r="E3" s="11"/>
    </row>
    <row r="4" ht="15.75" customHeight="1">
      <c r="D4" s="31"/>
      <c r="E4" s="11"/>
    </row>
    <row r="5" ht="15.75" customHeight="1">
      <c r="D5" s="31"/>
      <c r="E5" s="11"/>
    </row>
    <row r="6" ht="15.75" customHeight="1">
      <c r="D6" s="31"/>
      <c r="E6" s="11"/>
    </row>
    <row r="7" ht="15.75" customHeight="1">
      <c r="D7" s="31"/>
      <c r="E7" s="11"/>
    </row>
    <row r="8" ht="15.75" customHeight="1">
      <c r="D8" s="31"/>
      <c r="E8" s="11"/>
    </row>
    <row r="9" ht="15.75" customHeight="1">
      <c r="D9" s="31"/>
      <c r="E9" s="11"/>
    </row>
    <row r="10" ht="15.75" customHeight="1">
      <c r="D10" s="31"/>
      <c r="E10" s="11"/>
    </row>
    <row r="11" ht="15.75" customHeight="1">
      <c r="D11" s="31"/>
      <c r="E11" s="11"/>
    </row>
    <row r="12" ht="15.75" customHeight="1">
      <c r="D12" s="31"/>
      <c r="E12" s="11"/>
    </row>
    <row r="13" ht="15.75" customHeight="1">
      <c r="D13" s="31"/>
      <c r="E13" s="11"/>
    </row>
    <row r="14" ht="15.75" customHeight="1">
      <c r="D14" s="31"/>
      <c r="E14" s="11"/>
    </row>
    <row r="15" ht="15.75" customHeight="1">
      <c r="D15" s="31"/>
      <c r="E15" s="11"/>
    </row>
    <row r="16" ht="15.75" customHeight="1">
      <c r="D16" s="31"/>
      <c r="E16" s="11"/>
    </row>
    <row r="17" ht="15.75" customHeight="1">
      <c r="D17" s="31"/>
      <c r="E17" s="11"/>
    </row>
    <row r="18" ht="15.75" customHeight="1">
      <c r="D18" s="31"/>
      <c r="E18" s="11"/>
    </row>
    <row r="19" ht="15.75" customHeight="1">
      <c r="D19" s="31"/>
      <c r="E19" s="11"/>
    </row>
    <row r="20" ht="15.75" customHeight="1">
      <c r="D20" s="31"/>
      <c r="E20" s="11"/>
    </row>
    <row r="21" ht="15.75" customHeight="1">
      <c r="D21" s="31"/>
      <c r="E21" s="11"/>
    </row>
    <row r="22" ht="15.75" customHeight="1">
      <c r="D22" s="31"/>
      <c r="E22" s="11"/>
    </row>
    <row r="23" ht="15.75" customHeight="1">
      <c r="D23" s="31"/>
      <c r="E23" s="11"/>
    </row>
    <row r="24" ht="15.75" customHeight="1">
      <c r="D24" s="31"/>
      <c r="E24" s="11"/>
    </row>
    <row r="25" ht="15.75" customHeight="1">
      <c r="D25" s="31"/>
      <c r="E25" s="11"/>
    </row>
    <row r="26" ht="15.75" customHeight="1">
      <c r="D26" s="31"/>
      <c r="E26" s="11"/>
    </row>
    <row r="27" ht="15.75" customHeight="1">
      <c r="D27" s="31"/>
      <c r="E27" s="11"/>
    </row>
    <row r="28" ht="15.75" customHeight="1">
      <c r="D28" s="31"/>
      <c r="E28" s="11"/>
    </row>
    <row r="29" ht="15.75" customHeight="1">
      <c r="D29" s="31"/>
      <c r="E29" s="11"/>
    </row>
    <row r="30" ht="15.75" customHeight="1">
      <c r="D30" s="31"/>
      <c r="E30" s="11"/>
    </row>
    <row r="31" ht="15.75" customHeight="1">
      <c r="D31" s="31"/>
      <c r="E31" s="11"/>
    </row>
    <row r="32" ht="15.75" customHeight="1">
      <c r="D32" s="31"/>
      <c r="E32" s="11"/>
    </row>
    <row r="33" ht="15.75" customHeight="1">
      <c r="D33" s="31"/>
      <c r="E33" s="11"/>
    </row>
    <row r="34" ht="15.75" customHeight="1">
      <c r="D34" s="31"/>
      <c r="E34" s="11"/>
    </row>
    <row r="35" ht="15.75" customHeight="1">
      <c r="D35" s="31"/>
      <c r="E35" s="11"/>
    </row>
    <row r="36" ht="15.75" customHeight="1">
      <c r="D36" s="31"/>
      <c r="E36" s="11"/>
    </row>
    <row r="37" ht="15.75" customHeight="1">
      <c r="D37" s="31"/>
      <c r="E37" s="11"/>
    </row>
    <row r="38" ht="15.75" customHeight="1">
      <c r="D38" s="31"/>
      <c r="E38" s="11"/>
    </row>
    <row r="39" ht="15.75" customHeight="1">
      <c r="D39" s="31"/>
      <c r="E39" s="11"/>
    </row>
    <row r="40" ht="15.75" customHeight="1">
      <c r="D40" s="31"/>
      <c r="E40" s="11"/>
    </row>
    <row r="41" ht="15.75" customHeight="1">
      <c r="D41" s="31"/>
      <c r="E41" s="11"/>
    </row>
    <row r="42" ht="15.75" customHeight="1">
      <c r="D42" s="31"/>
      <c r="E42" s="11"/>
    </row>
    <row r="43" ht="15.75" customHeight="1">
      <c r="D43" s="31"/>
      <c r="E43" s="11"/>
    </row>
    <row r="44" ht="15.75" customHeight="1">
      <c r="D44" s="31"/>
      <c r="E44" s="11"/>
    </row>
    <row r="45" ht="15.75" customHeight="1">
      <c r="D45" s="31"/>
      <c r="E45" s="11"/>
    </row>
    <row r="46" ht="15.75" customHeight="1">
      <c r="D46" s="31"/>
      <c r="E46" s="11"/>
    </row>
    <row r="47" ht="15.75" customHeight="1">
      <c r="D47" s="31"/>
      <c r="E47" s="11"/>
    </row>
    <row r="48" ht="15.75" customHeight="1">
      <c r="D48" s="31"/>
      <c r="E48" s="11"/>
    </row>
    <row r="49" ht="15.75" customHeight="1">
      <c r="D49" s="31"/>
      <c r="E49" s="11"/>
    </row>
    <row r="50" ht="15.75" customHeight="1">
      <c r="D50" s="31"/>
      <c r="E50" s="11"/>
    </row>
    <row r="51" ht="15.75" customHeight="1">
      <c r="D51" s="31"/>
      <c r="E51" s="11"/>
    </row>
    <row r="52" ht="15.75" customHeight="1">
      <c r="D52" s="31"/>
      <c r="E52" s="11"/>
    </row>
    <row r="53" ht="15.75" customHeight="1">
      <c r="D53" s="31"/>
      <c r="E53" s="11"/>
    </row>
    <row r="54" ht="15.75" customHeight="1">
      <c r="D54" s="31"/>
      <c r="E54" s="11"/>
    </row>
    <row r="55" ht="15.75" customHeight="1">
      <c r="D55" s="31"/>
      <c r="E55" s="11"/>
    </row>
    <row r="56" ht="15.75" customHeight="1">
      <c r="D56" s="31"/>
      <c r="E56" s="11"/>
    </row>
    <row r="57" ht="15.75" customHeight="1">
      <c r="D57" s="31"/>
      <c r="E57" s="11"/>
    </row>
    <row r="58" ht="15.75" customHeight="1">
      <c r="D58" s="31"/>
      <c r="E58" s="11"/>
    </row>
    <row r="59" ht="15.75" customHeight="1">
      <c r="D59" s="31"/>
      <c r="E59" s="11"/>
    </row>
    <row r="60" ht="15.75" customHeight="1">
      <c r="D60" s="31"/>
      <c r="E60" s="11"/>
    </row>
    <row r="61" ht="15.75" customHeight="1">
      <c r="D61" s="31"/>
      <c r="E61" s="11"/>
    </row>
    <row r="62" ht="15.75" customHeight="1">
      <c r="D62" s="31"/>
      <c r="E62" s="11"/>
    </row>
    <row r="63" ht="15.75" customHeight="1">
      <c r="D63" s="31"/>
      <c r="E63" s="11"/>
    </row>
    <row r="64" ht="15.75" customHeight="1">
      <c r="D64" s="31"/>
      <c r="E64" s="11"/>
    </row>
    <row r="65" ht="15.75" customHeight="1">
      <c r="D65" s="31"/>
      <c r="E65" s="11"/>
    </row>
    <row r="66" ht="15.75" customHeight="1">
      <c r="D66" s="31"/>
      <c r="E66" s="11"/>
    </row>
    <row r="67" ht="15.75" customHeight="1">
      <c r="D67" s="31"/>
      <c r="E67" s="11"/>
    </row>
    <row r="68" ht="15.75" customHeight="1">
      <c r="D68" s="31"/>
      <c r="E68" s="11"/>
    </row>
    <row r="69" ht="15.75" customHeight="1">
      <c r="D69" s="31"/>
      <c r="E69" s="11"/>
    </row>
    <row r="70" ht="15.75" customHeight="1">
      <c r="D70" s="31"/>
      <c r="E70" s="11"/>
    </row>
    <row r="71" ht="15.75" customHeight="1">
      <c r="D71" s="31"/>
      <c r="E71" s="11"/>
    </row>
    <row r="72" ht="15.75" customHeight="1">
      <c r="D72" s="31"/>
      <c r="E72" s="11"/>
    </row>
    <row r="73" ht="15.75" customHeight="1">
      <c r="D73" s="31"/>
      <c r="E73" s="11"/>
    </row>
    <row r="74" ht="15.75" customHeight="1">
      <c r="D74" s="31"/>
      <c r="E74" s="11"/>
    </row>
    <row r="75" ht="15.75" customHeight="1">
      <c r="D75" s="31"/>
      <c r="E75" s="11"/>
    </row>
    <row r="76" ht="15.75" customHeight="1">
      <c r="D76" s="31"/>
      <c r="E76" s="11"/>
    </row>
    <row r="77" ht="15.75" customHeight="1">
      <c r="D77" s="31"/>
      <c r="E77" s="11"/>
    </row>
    <row r="78" ht="15.75" customHeight="1">
      <c r="D78" s="31"/>
      <c r="E78" s="11"/>
    </row>
    <row r="79" ht="15.75" customHeight="1">
      <c r="D79" s="31"/>
      <c r="E79" s="11"/>
    </row>
    <row r="80" ht="15.75" customHeight="1">
      <c r="D80" s="31"/>
      <c r="E80" s="11"/>
    </row>
    <row r="81" ht="15.75" customHeight="1">
      <c r="D81" s="31"/>
      <c r="E81" s="11"/>
    </row>
    <row r="82" ht="15.75" customHeight="1">
      <c r="D82" s="31"/>
      <c r="E82" s="11"/>
    </row>
    <row r="83" ht="15.75" customHeight="1">
      <c r="D83" s="31"/>
      <c r="E83" s="11"/>
    </row>
    <row r="84" ht="15.75" customHeight="1">
      <c r="D84" s="31"/>
      <c r="E84" s="11"/>
    </row>
    <row r="85" ht="15.75" customHeight="1">
      <c r="D85" s="31"/>
      <c r="E85" s="11"/>
    </row>
    <row r="86" ht="15.75" customHeight="1">
      <c r="D86" s="31"/>
      <c r="E86" s="11"/>
    </row>
    <row r="87" ht="15.75" customHeight="1">
      <c r="D87" s="31"/>
      <c r="E87" s="11"/>
    </row>
    <row r="88" ht="15.75" customHeight="1">
      <c r="D88" s="31"/>
      <c r="E88" s="11"/>
    </row>
    <row r="89" ht="15.75" customHeight="1">
      <c r="D89" s="31"/>
      <c r="E89" s="11"/>
    </row>
    <row r="90" ht="15.75" customHeight="1">
      <c r="D90" s="31"/>
      <c r="E90" s="11"/>
    </row>
    <row r="91" ht="15.75" customHeight="1">
      <c r="D91" s="31"/>
      <c r="E91" s="11"/>
    </row>
    <row r="92" ht="15.75" customHeight="1">
      <c r="D92" s="31"/>
      <c r="E92" s="11"/>
    </row>
    <row r="93" ht="15.75" customHeight="1">
      <c r="D93" s="31"/>
      <c r="E93" s="11"/>
    </row>
    <row r="94" ht="15.75" customHeight="1">
      <c r="D94" s="31"/>
      <c r="E94" s="11"/>
    </row>
    <row r="95" ht="15.75" customHeight="1">
      <c r="D95" s="31"/>
      <c r="E95" s="11"/>
    </row>
    <row r="96" ht="15.75" customHeight="1">
      <c r="D96" s="31"/>
      <c r="E96" s="11"/>
    </row>
    <row r="97" ht="15.75" customHeight="1">
      <c r="D97" s="31"/>
      <c r="E97" s="11"/>
    </row>
    <row r="98" ht="15.75" customHeight="1">
      <c r="D98" s="31"/>
      <c r="E98" s="11"/>
    </row>
    <row r="99" ht="15.75" customHeight="1">
      <c r="D99" s="31"/>
      <c r="E99" s="11"/>
    </row>
    <row r="100" ht="15.75" customHeight="1">
      <c r="D100" s="31"/>
      <c r="E100" s="11"/>
    </row>
    <row r="101" ht="15.75" customHeight="1">
      <c r="D101" s="31"/>
      <c r="E101" s="11"/>
    </row>
    <row r="102" ht="15.75" customHeight="1">
      <c r="D102" s="31"/>
      <c r="E102" s="11"/>
    </row>
    <row r="103" ht="15.75" customHeight="1">
      <c r="D103" s="31"/>
      <c r="E103" s="11"/>
    </row>
    <row r="104" ht="15.75" customHeight="1">
      <c r="D104" s="31"/>
      <c r="E104" s="11"/>
    </row>
    <row r="105" ht="15.75" customHeight="1">
      <c r="D105" s="31"/>
      <c r="E105" s="11"/>
    </row>
    <row r="106" ht="15.75" customHeight="1">
      <c r="D106" s="31"/>
      <c r="E106" s="11"/>
    </row>
    <row r="107" ht="15.75" customHeight="1">
      <c r="D107" s="31"/>
      <c r="E107" s="11"/>
    </row>
    <row r="108" ht="15.75" customHeight="1">
      <c r="D108" s="31"/>
      <c r="E108" s="11"/>
    </row>
    <row r="109" ht="15.75" customHeight="1">
      <c r="D109" s="31"/>
      <c r="E109" s="11"/>
    </row>
    <row r="110" ht="15.75" customHeight="1">
      <c r="D110" s="31"/>
      <c r="E110" s="11"/>
    </row>
    <row r="111" ht="15.75" customHeight="1">
      <c r="D111" s="31"/>
      <c r="E111" s="11"/>
    </row>
    <row r="112" ht="15.75" customHeight="1">
      <c r="D112" s="31"/>
      <c r="E112" s="11"/>
    </row>
    <row r="113" ht="15.75" customHeight="1">
      <c r="D113" s="31"/>
      <c r="E113" s="11"/>
    </row>
    <row r="114" ht="15.75" customHeight="1">
      <c r="D114" s="31"/>
      <c r="E114" s="11"/>
    </row>
    <row r="115" ht="15.75" customHeight="1">
      <c r="D115" s="31"/>
      <c r="E115" s="11"/>
    </row>
    <row r="116" ht="15.75" customHeight="1">
      <c r="D116" s="31"/>
      <c r="E116" s="11"/>
    </row>
    <row r="117" ht="15.75" customHeight="1">
      <c r="D117" s="31"/>
      <c r="E117" s="11"/>
    </row>
    <row r="118" ht="15.75" customHeight="1">
      <c r="D118" s="31"/>
      <c r="E118" s="11"/>
    </row>
    <row r="119" ht="15.75" customHeight="1">
      <c r="D119" s="31"/>
      <c r="E119" s="11"/>
    </row>
    <row r="120" ht="15.75" customHeight="1">
      <c r="D120" s="31"/>
      <c r="E120" s="11"/>
    </row>
    <row r="121" ht="15.75" customHeight="1">
      <c r="D121" s="31"/>
      <c r="E121" s="11"/>
    </row>
    <row r="122" ht="15.75" customHeight="1">
      <c r="D122" s="31"/>
      <c r="E122" s="11"/>
    </row>
    <row r="123" ht="15.75" customHeight="1">
      <c r="D123" s="31"/>
      <c r="E123" s="11"/>
    </row>
    <row r="124" ht="15.75" customHeight="1">
      <c r="D124" s="31"/>
      <c r="E124" s="11"/>
    </row>
    <row r="125" ht="15.75" customHeight="1">
      <c r="D125" s="31"/>
      <c r="E125" s="11"/>
    </row>
    <row r="126" ht="15.75" customHeight="1">
      <c r="D126" s="31"/>
      <c r="E126" s="11"/>
    </row>
    <row r="127" ht="15.75" customHeight="1">
      <c r="D127" s="31"/>
      <c r="E127" s="11"/>
    </row>
    <row r="128" ht="15.75" customHeight="1">
      <c r="D128" s="31"/>
      <c r="E128" s="11"/>
    </row>
    <row r="129" ht="15.75" customHeight="1">
      <c r="D129" s="31"/>
      <c r="E129" s="11"/>
    </row>
    <row r="130" ht="15.75" customHeight="1">
      <c r="D130" s="31"/>
      <c r="E130" s="11"/>
    </row>
    <row r="131" ht="15.75" customHeight="1">
      <c r="D131" s="31"/>
      <c r="E131" s="11"/>
    </row>
    <row r="132" ht="15.75" customHeight="1">
      <c r="D132" s="31"/>
      <c r="E132" s="11"/>
    </row>
    <row r="133" ht="15.75" customHeight="1">
      <c r="D133" s="31"/>
      <c r="E133" s="11"/>
    </row>
    <row r="134" ht="15.75" customHeight="1">
      <c r="D134" s="31"/>
      <c r="E134" s="11"/>
    </row>
    <row r="135" ht="15.75" customHeight="1">
      <c r="D135" s="31"/>
      <c r="E135" s="11"/>
    </row>
    <row r="136" ht="15.75" customHeight="1">
      <c r="D136" s="31"/>
      <c r="E136" s="11"/>
    </row>
    <row r="137" ht="15.75" customHeight="1">
      <c r="D137" s="31"/>
      <c r="E137" s="11"/>
    </row>
    <row r="138" ht="15.75" customHeight="1">
      <c r="D138" s="31"/>
      <c r="E138" s="11"/>
    </row>
    <row r="139" ht="15.75" customHeight="1">
      <c r="D139" s="31"/>
      <c r="E139" s="11"/>
    </row>
    <row r="140" ht="15.75" customHeight="1">
      <c r="D140" s="31"/>
      <c r="E140" s="11"/>
    </row>
    <row r="141" ht="15.75" customHeight="1">
      <c r="D141" s="31"/>
      <c r="E141" s="11"/>
    </row>
    <row r="142" ht="15.75" customHeight="1">
      <c r="D142" s="31"/>
      <c r="E142" s="11"/>
    </row>
    <row r="143" ht="15.75" customHeight="1">
      <c r="D143" s="31"/>
      <c r="E143" s="11"/>
    </row>
    <row r="144" ht="15.75" customHeight="1">
      <c r="D144" s="31"/>
      <c r="E144" s="11"/>
    </row>
    <row r="145" ht="15.75" customHeight="1">
      <c r="D145" s="31"/>
      <c r="E145" s="11"/>
    </row>
    <row r="146" ht="15.75" customHeight="1">
      <c r="D146" s="31"/>
      <c r="E146" s="11"/>
    </row>
    <row r="147" ht="15.75" customHeight="1">
      <c r="D147" s="31"/>
      <c r="E147" s="11"/>
    </row>
    <row r="148" ht="15.75" customHeight="1">
      <c r="D148" s="31"/>
      <c r="E148" s="11"/>
    </row>
    <row r="149" ht="15.75" customHeight="1">
      <c r="D149" s="31"/>
      <c r="E149" s="11"/>
    </row>
    <row r="150" ht="15.75" customHeight="1">
      <c r="D150" s="31"/>
      <c r="E150" s="11"/>
    </row>
    <row r="151" ht="15.75" customHeight="1">
      <c r="D151" s="31"/>
      <c r="E151" s="11"/>
    </row>
    <row r="152" ht="15.75" customHeight="1">
      <c r="D152" s="31"/>
      <c r="E152" s="11"/>
    </row>
    <row r="153" ht="15.75" customHeight="1">
      <c r="D153" s="31"/>
      <c r="E153" s="11"/>
    </row>
    <row r="154" ht="15.75" customHeight="1">
      <c r="D154" s="31"/>
      <c r="E154" s="11"/>
    </row>
    <row r="155" ht="15.75" customHeight="1">
      <c r="D155" s="31"/>
      <c r="E155" s="11"/>
    </row>
    <row r="156" ht="15.75" customHeight="1">
      <c r="D156" s="31"/>
      <c r="E156" s="11"/>
    </row>
    <row r="157" ht="15.75" customHeight="1">
      <c r="D157" s="31"/>
      <c r="E157" s="11"/>
    </row>
    <row r="158" ht="15.75" customHeight="1">
      <c r="D158" s="31"/>
      <c r="E158" s="11"/>
    </row>
    <row r="159" ht="15.75" customHeight="1">
      <c r="D159" s="31"/>
      <c r="E159" s="11"/>
    </row>
    <row r="160" ht="15.75" customHeight="1">
      <c r="D160" s="31"/>
      <c r="E160" s="11"/>
    </row>
    <row r="161" ht="15.75" customHeight="1">
      <c r="D161" s="31"/>
      <c r="E161" s="11"/>
    </row>
    <row r="162" ht="15.75" customHeight="1">
      <c r="D162" s="31"/>
      <c r="E162" s="11"/>
    </row>
    <row r="163" ht="15.75" customHeight="1">
      <c r="D163" s="31"/>
      <c r="E163" s="11"/>
    </row>
    <row r="164" ht="15.75" customHeight="1">
      <c r="D164" s="31"/>
      <c r="E164" s="11"/>
    </row>
    <row r="165" ht="15.75" customHeight="1">
      <c r="D165" s="31"/>
      <c r="E165" s="11"/>
    </row>
    <row r="166" ht="15.75" customHeight="1">
      <c r="D166" s="31"/>
      <c r="E166" s="11"/>
    </row>
    <row r="167" ht="15.75" customHeight="1">
      <c r="D167" s="31"/>
      <c r="E167" s="11"/>
    </row>
    <row r="168" ht="15.75" customHeight="1">
      <c r="D168" s="31"/>
      <c r="E168" s="11"/>
    </row>
    <row r="169" ht="15.75" customHeight="1">
      <c r="D169" s="31"/>
      <c r="E169" s="11"/>
    </row>
    <row r="170" ht="15.75" customHeight="1">
      <c r="D170" s="31"/>
      <c r="E170" s="11"/>
    </row>
    <row r="171" ht="15.75" customHeight="1">
      <c r="D171" s="31"/>
      <c r="E171" s="11"/>
    </row>
    <row r="172" ht="15.75" customHeight="1">
      <c r="D172" s="31"/>
      <c r="E172" s="11"/>
    </row>
    <row r="173" ht="15.75" customHeight="1">
      <c r="D173" s="31"/>
      <c r="E173" s="11"/>
    </row>
    <row r="174" ht="15.75" customHeight="1">
      <c r="D174" s="31"/>
      <c r="E174" s="11"/>
    </row>
    <row r="175" ht="15.75" customHeight="1">
      <c r="D175" s="31"/>
      <c r="E175" s="11"/>
    </row>
    <row r="176" ht="15.75" customHeight="1">
      <c r="D176" s="31"/>
      <c r="E176" s="11"/>
    </row>
    <row r="177" ht="15.75" customHeight="1">
      <c r="D177" s="31"/>
      <c r="E177" s="11"/>
    </row>
    <row r="178" ht="15.75" customHeight="1">
      <c r="D178" s="31"/>
      <c r="E178" s="11"/>
    </row>
    <row r="179" ht="15.75" customHeight="1">
      <c r="D179" s="31"/>
      <c r="E179" s="11"/>
    </row>
    <row r="180" ht="15.75" customHeight="1">
      <c r="D180" s="31"/>
      <c r="E180" s="11"/>
    </row>
    <row r="181" ht="15.75" customHeight="1">
      <c r="D181" s="31"/>
      <c r="E181" s="11"/>
    </row>
    <row r="182" ht="15.75" customHeight="1">
      <c r="D182" s="31"/>
      <c r="E182" s="11"/>
    </row>
    <row r="183" ht="15.75" customHeight="1">
      <c r="D183" s="31"/>
      <c r="E183" s="11"/>
    </row>
    <row r="184" ht="15.75" customHeight="1">
      <c r="D184" s="31"/>
      <c r="E184" s="11"/>
    </row>
    <row r="185" ht="15.75" customHeight="1">
      <c r="D185" s="31"/>
      <c r="E185" s="11"/>
    </row>
    <row r="186" ht="15.75" customHeight="1">
      <c r="D186" s="31"/>
      <c r="E186" s="11"/>
    </row>
    <row r="187" ht="15.75" customHeight="1">
      <c r="D187" s="31"/>
      <c r="E187" s="11"/>
    </row>
    <row r="188" ht="15.75" customHeight="1">
      <c r="D188" s="31"/>
      <c r="E188" s="11"/>
    </row>
    <row r="189" ht="15.75" customHeight="1">
      <c r="D189" s="31"/>
      <c r="E189" s="11"/>
    </row>
    <row r="190" ht="15.75" customHeight="1">
      <c r="D190" s="31"/>
      <c r="E190" s="11"/>
    </row>
    <row r="191" ht="15.75" customHeight="1">
      <c r="D191" s="31"/>
      <c r="E191" s="11"/>
    </row>
    <row r="192" ht="15.75" customHeight="1">
      <c r="D192" s="31"/>
      <c r="E192" s="11"/>
    </row>
    <row r="193" ht="15.75" customHeight="1">
      <c r="D193" s="31"/>
      <c r="E193" s="11"/>
    </row>
    <row r="194" ht="15.75" customHeight="1">
      <c r="D194" s="31"/>
      <c r="E194" s="11"/>
    </row>
    <row r="195" ht="15.75" customHeight="1">
      <c r="D195" s="31"/>
      <c r="E195" s="11"/>
    </row>
    <row r="196" ht="15.75" customHeight="1">
      <c r="D196" s="31"/>
      <c r="E196" s="11"/>
    </row>
    <row r="197" ht="15.75" customHeight="1">
      <c r="D197" s="31"/>
      <c r="E197" s="11"/>
    </row>
    <row r="198" ht="15.75" customHeight="1">
      <c r="D198" s="31"/>
      <c r="E198" s="11"/>
    </row>
    <row r="199" ht="15.75" customHeight="1">
      <c r="D199" s="31"/>
      <c r="E199" s="11"/>
    </row>
    <row r="200" ht="15.75" customHeight="1">
      <c r="D200" s="31"/>
      <c r="E200" s="11"/>
    </row>
    <row r="201" ht="15.75" customHeight="1">
      <c r="D201" s="31"/>
      <c r="E201" s="11"/>
    </row>
    <row r="202" ht="15.75" customHeight="1">
      <c r="D202" s="31"/>
      <c r="E202" s="11"/>
    </row>
    <row r="203" ht="15.75" customHeight="1">
      <c r="D203" s="31"/>
      <c r="E203" s="11"/>
    </row>
    <row r="204" ht="15.75" customHeight="1">
      <c r="D204" s="31"/>
      <c r="E204" s="11"/>
    </row>
    <row r="205" ht="15.75" customHeight="1">
      <c r="D205" s="31"/>
      <c r="E205" s="11"/>
    </row>
    <row r="206" ht="15.75" customHeight="1">
      <c r="D206" s="31"/>
      <c r="E206" s="11"/>
    </row>
    <row r="207" ht="15.75" customHeight="1">
      <c r="D207" s="31"/>
      <c r="E207" s="11"/>
    </row>
    <row r="208" ht="15.75" customHeight="1">
      <c r="D208" s="31"/>
      <c r="E208" s="11"/>
    </row>
    <row r="209" ht="15.75" customHeight="1">
      <c r="D209" s="31"/>
      <c r="E209" s="11"/>
    </row>
    <row r="210" ht="15.75" customHeight="1">
      <c r="D210" s="31"/>
      <c r="E210" s="11"/>
    </row>
    <row r="211" ht="15.75" customHeight="1">
      <c r="D211" s="31"/>
      <c r="E211" s="11"/>
    </row>
    <row r="212" ht="15.75" customHeight="1">
      <c r="D212" s="31"/>
      <c r="E212" s="11"/>
    </row>
    <row r="213" ht="15.75" customHeight="1">
      <c r="D213" s="31"/>
      <c r="E213" s="11"/>
    </row>
    <row r="214" ht="15.75" customHeight="1">
      <c r="D214" s="31"/>
      <c r="E214" s="11"/>
    </row>
    <row r="215" ht="15.75" customHeight="1">
      <c r="D215" s="31"/>
      <c r="E215" s="11"/>
    </row>
    <row r="216" ht="15.75" customHeight="1">
      <c r="D216" s="31"/>
      <c r="E216" s="11"/>
    </row>
    <row r="217" ht="15.75" customHeight="1">
      <c r="D217" s="31"/>
      <c r="E217" s="11"/>
    </row>
    <row r="218" ht="15.75" customHeight="1">
      <c r="D218" s="31"/>
      <c r="E218" s="11"/>
    </row>
    <row r="219" ht="15.75" customHeight="1">
      <c r="D219" s="31"/>
      <c r="E219" s="11"/>
    </row>
    <row r="220" ht="15.75" customHeight="1">
      <c r="D220" s="31"/>
      <c r="E220" s="11"/>
    </row>
    <row r="221" ht="15.75" customHeight="1">
      <c r="E221" s="11"/>
    </row>
    <row r="222" ht="15.75" customHeight="1">
      <c r="E222" s="11"/>
    </row>
    <row r="223" ht="15.75" customHeight="1">
      <c r="E223" s="11"/>
    </row>
    <row r="224" ht="15.75" customHeight="1">
      <c r="E224" s="11"/>
    </row>
    <row r="225" ht="15.75" customHeight="1">
      <c r="E225" s="11"/>
    </row>
    <row r="226" ht="15.75" customHeight="1">
      <c r="E226" s="11"/>
    </row>
    <row r="227" ht="15.75" customHeight="1">
      <c r="E227" s="11"/>
    </row>
    <row r="228" ht="15.75" customHeight="1">
      <c r="E228" s="11"/>
    </row>
    <row r="229" ht="15.75" customHeight="1">
      <c r="E229" s="11"/>
    </row>
    <row r="230" ht="15.75" customHeight="1">
      <c r="E230" s="11"/>
    </row>
    <row r="231" ht="15.75" customHeight="1">
      <c r="E231" s="11"/>
    </row>
    <row r="232" ht="15.75" customHeight="1">
      <c r="E232" s="11"/>
    </row>
    <row r="233" ht="15.75" customHeight="1">
      <c r="E233" s="11"/>
    </row>
    <row r="234" ht="15.75" customHeight="1">
      <c r="E234" s="11"/>
    </row>
    <row r="235" ht="15.75" customHeight="1">
      <c r="E235" s="11"/>
    </row>
    <row r="236" ht="15.75" customHeight="1">
      <c r="E236" s="11"/>
    </row>
    <row r="237" ht="15.75" customHeight="1">
      <c r="E237" s="11"/>
    </row>
    <row r="238" ht="15.75" customHeight="1">
      <c r="E238" s="11"/>
    </row>
    <row r="239" ht="15.75" customHeight="1">
      <c r="E239" s="11"/>
    </row>
    <row r="240" ht="15.75" customHeight="1">
      <c r="E240" s="11"/>
    </row>
    <row r="241" ht="15.75" customHeight="1">
      <c r="E241" s="11"/>
    </row>
    <row r="242" ht="15.75" customHeight="1">
      <c r="E242" s="11"/>
    </row>
    <row r="243" ht="15.75" customHeight="1">
      <c r="E243" s="11"/>
    </row>
    <row r="244" ht="15.75" customHeight="1">
      <c r="E244" s="11"/>
    </row>
    <row r="245" ht="15.75" customHeight="1">
      <c r="E245" s="11"/>
    </row>
    <row r="246" ht="15.75" customHeight="1">
      <c r="E246" s="11"/>
    </row>
    <row r="247" ht="15.75" customHeight="1">
      <c r="E247" s="11"/>
    </row>
    <row r="248" ht="15.75" customHeight="1">
      <c r="E248" s="11"/>
    </row>
    <row r="249" ht="15.75" customHeight="1">
      <c r="E249" s="11"/>
    </row>
    <row r="250" ht="15.75" customHeight="1">
      <c r="E250" s="11"/>
    </row>
    <row r="251" ht="15.75" customHeight="1">
      <c r="E251" s="11"/>
    </row>
    <row r="252" ht="15.75" customHeight="1">
      <c r="E252" s="11"/>
    </row>
    <row r="253" ht="15.75" customHeight="1">
      <c r="E253" s="11"/>
    </row>
    <row r="254" ht="15.75" customHeight="1">
      <c r="E254" s="11"/>
    </row>
    <row r="255" ht="15.75" customHeight="1">
      <c r="E255" s="11"/>
    </row>
    <row r="256" ht="15.75" customHeight="1">
      <c r="E256" s="11"/>
    </row>
    <row r="257" ht="15.75" customHeight="1">
      <c r="E257" s="11"/>
    </row>
    <row r="258" ht="15.75" customHeight="1">
      <c r="E258" s="11"/>
    </row>
    <row r="259" ht="15.75" customHeight="1">
      <c r="E259" s="11"/>
    </row>
    <row r="260" ht="15.75" customHeight="1">
      <c r="E260" s="11"/>
    </row>
    <row r="261" ht="15.75" customHeight="1">
      <c r="E261" s="11"/>
    </row>
    <row r="262" ht="15.75" customHeight="1">
      <c r="E262" s="11"/>
    </row>
    <row r="263" ht="15.75" customHeight="1">
      <c r="E263" s="11"/>
    </row>
    <row r="264" ht="15.75" customHeight="1">
      <c r="E264" s="11"/>
    </row>
    <row r="265" ht="15.75" customHeight="1">
      <c r="E265" s="11"/>
    </row>
    <row r="266" ht="15.75" customHeight="1">
      <c r="E266" s="11"/>
    </row>
    <row r="267" ht="15.75" customHeight="1">
      <c r="E267" s="11"/>
    </row>
    <row r="268" ht="15.75" customHeight="1">
      <c r="E268" s="11"/>
    </row>
    <row r="269" ht="15.75" customHeight="1">
      <c r="E269" s="11"/>
    </row>
    <row r="270" ht="15.75" customHeight="1">
      <c r="E270" s="11"/>
    </row>
    <row r="271" ht="15.75" customHeight="1">
      <c r="E271" s="11"/>
    </row>
    <row r="272" ht="15.75" customHeight="1">
      <c r="E272" s="11"/>
    </row>
    <row r="273" ht="15.75" customHeight="1">
      <c r="E273" s="11"/>
    </row>
    <row r="274" ht="15.75" customHeight="1">
      <c r="E274" s="11"/>
    </row>
    <row r="275" ht="15.75" customHeight="1">
      <c r="E275" s="11"/>
    </row>
    <row r="276" ht="15.75" customHeight="1">
      <c r="E276" s="11"/>
    </row>
    <row r="277" ht="15.75" customHeight="1">
      <c r="E277" s="11"/>
    </row>
    <row r="278" ht="15.75" customHeight="1">
      <c r="E278" s="11"/>
    </row>
    <row r="279" ht="15.75" customHeight="1">
      <c r="E279" s="11"/>
    </row>
    <row r="280" ht="15.75" customHeight="1">
      <c r="E280" s="11"/>
    </row>
    <row r="281" ht="15.75" customHeight="1">
      <c r="E281" s="11"/>
    </row>
    <row r="282" ht="15.75" customHeight="1">
      <c r="E282" s="11"/>
    </row>
    <row r="283" ht="15.75" customHeight="1">
      <c r="E283" s="11"/>
    </row>
    <row r="284" ht="15.75" customHeight="1">
      <c r="E284" s="11"/>
    </row>
    <row r="285" ht="15.75" customHeight="1">
      <c r="E285" s="11"/>
    </row>
    <row r="286" ht="15.75" customHeight="1">
      <c r="E286" s="11"/>
    </row>
    <row r="287" ht="15.75" customHeight="1">
      <c r="E287" s="11"/>
    </row>
    <row r="288" ht="15.75" customHeight="1">
      <c r="E288" s="11"/>
    </row>
    <row r="289" ht="15.75" customHeight="1">
      <c r="E289" s="11"/>
    </row>
    <row r="290" ht="15.75" customHeight="1">
      <c r="E290" s="11"/>
    </row>
    <row r="291" ht="15.75" customHeight="1">
      <c r="E291" s="11"/>
    </row>
    <row r="292" ht="15.75" customHeight="1">
      <c r="E292" s="11"/>
    </row>
    <row r="293" ht="15.75" customHeight="1">
      <c r="E293" s="11"/>
    </row>
    <row r="294" ht="15.75" customHeight="1">
      <c r="E294" s="11"/>
    </row>
    <row r="295" ht="15.75" customHeight="1">
      <c r="E295" s="11"/>
    </row>
    <row r="296" ht="15.75" customHeight="1">
      <c r="E296" s="11"/>
    </row>
    <row r="297" ht="15.75" customHeight="1">
      <c r="E297" s="11"/>
    </row>
    <row r="298" ht="15.75" customHeight="1">
      <c r="E298" s="11"/>
    </row>
    <row r="299" ht="15.75" customHeight="1">
      <c r="E299" s="11"/>
    </row>
    <row r="300" ht="15.75" customHeight="1">
      <c r="E300" s="11"/>
    </row>
    <row r="301" ht="15.75" customHeight="1">
      <c r="E301" s="11"/>
    </row>
    <row r="302" ht="15.75" customHeight="1">
      <c r="E302" s="11"/>
    </row>
    <row r="303" ht="15.75" customHeight="1">
      <c r="E303" s="11"/>
    </row>
    <row r="304" ht="15.75" customHeight="1">
      <c r="E304" s="11"/>
    </row>
    <row r="305" ht="15.75" customHeight="1">
      <c r="E305" s="11"/>
    </row>
    <row r="306" ht="15.75" customHeight="1">
      <c r="E306" s="11"/>
    </row>
    <row r="307" ht="15.75" customHeight="1">
      <c r="E307" s="11"/>
    </row>
    <row r="308" ht="15.75" customHeight="1">
      <c r="E308" s="11"/>
    </row>
    <row r="309" ht="15.75" customHeight="1">
      <c r="E309" s="11"/>
    </row>
    <row r="310" ht="15.75" customHeight="1">
      <c r="E310" s="11"/>
    </row>
    <row r="311" ht="15.75" customHeight="1">
      <c r="E311" s="11"/>
    </row>
    <row r="312" ht="15.75" customHeight="1">
      <c r="E312" s="11"/>
    </row>
    <row r="313" ht="15.75" customHeight="1">
      <c r="E313" s="11"/>
    </row>
    <row r="314" ht="15.75" customHeight="1">
      <c r="E314" s="11"/>
    </row>
    <row r="315" ht="15.75" customHeight="1">
      <c r="E315" s="11"/>
    </row>
    <row r="316" ht="15.75" customHeight="1">
      <c r="E316" s="11"/>
    </row>
    <row r="317" ht="15.75" customHeight="1">
      <c r="E317" s="11"/>
    </row>
    <row r="318" ht="15.75" customHeight="1">
      <c r="E318" s="11"/>
    </row>
    <row r="319" ht="15.75" customHeight="1">
      <c r="E319" s="11"/>
    </row>
    <row r="320" ht="15.75" customHeight="1">
      <c r="E320" s="11"/>
    </row>
    <row r="321" ht="15.75" customHeight="1">
      <c r="E321" s="11"/>
    </row>
    <row r="322" ht="15.75" customHeight="1">
      <c r="E322" s="11"/>
    </row>
    <row r="323" ht="15.75" customHeight="1">
      <c r="E323" s="11"/>
    </row>
    <row r="324" ht="15.75" customHeight="1">
      <c r="E324" s="11"/>
    </row>
    <row r="325" ht="15.75" customHeight="1">
      <c r="E325" s="11"/>
    </row>
    <row r="326" ht="15.75" customHeight="1">
      <c r="E326" s="11"/>
    </row>
    <row r="327" ht="15.75" customHeight="1">
      <c r="E327" s="11"/>
    </row>
    <row r="328" ht="15.75" customHeight="1">
      <c r="E328" s="11"/>
    </row>
    <row r="329" ht="15.75" customHeight="1">
      <c r="E329" s="11"/>
    </row>
    <row r="330" ht="15.75" customHeight="1">
      <c r="E330" s="11"/>
    </row>
    <row r="331" ht="15.75" customHeight="1">
      <c r="E331" s="11"/>
    </row>
    <row r="332" ht="15.75" customHeight="1">
      <c r="E332" s="11"/>
    </row>
    <row r="333" ht="15.75" customHeight="1">
      <c r="E333" s="11"/>
    </row>
    <row r="334" ht="15.75" customHeight="1">
      <c r="E334" s="11"/>
    </row>
    <row r="335" ht="15.75" customHeight="1">
      <c r="E335" s="11"/>
    </row>
    <row r="336" ht="15.75" customHeight="1">
      <c r="E336" s="11"/>
    </row>
    <row r="337" ht="15.75" customHeight="1">
      <c r="E337" s="11"/>
    </row>
    <row r="338" ht="15.75" customHeight="1">
      <c r="E338" s="11"/>
    </row>
    <row r="339" ht="15.75" customHeight="1">
      <c r="E339" s="11"/>
    </row>
    <row r="340" ht="15.75" customHeight="1">
      <c r="E340" s="11"/>
    </row>
    <row r="341" ht="15.75" customHeight="1">
      <c r="E341" s="11"/>
    </row>
    <row r="342" ht="15.75" customHeight="1">
      <c r="E342" s="11"/>
    </row>
    <row r="343" ht="15.75" customHeight="1">
      <c r="E343" s="11"/>
    </row>
    <row r="344" ht="15.75" customHeight="1">
      <c r="E344" s="11"/>
    </row>
    <row r="345" ht="15.75" customHeight="1">
      <c r="E345" s="11"/>
    </row>
    <row r="346" ht="15.75" customHeight="1">
      <c r="E346" s="11"/>
    </row>
    <row r="347" ht="15.75" customHeight="1">
      <c r="E347" s="11"/>
    </row>
    <row r="348" ht="15.75" customHeight="1">
      <c r="E348" s="11"/>
    </row>
    <row r="349" ht="15.75" customHeight="1">
      <c r="E349" s="11"/>
    </row>
    <row r="350" ht="15.75" customHeight="1">
      <c r="E350" s="11"/>
    </row>
    <row r="351" ht="15.75" customHeight="1">
      <c r="E351" s="11"/>
    </row>
    <row r="352" ht="15.75" customHeight="1">
      <c r="E352" s="11"/>
    </row>
    <row r="353" ht="15.75" customHeight="1">
      <c r="E353" s="11"/>
    </row>
    <row r="354" ht="15.75" customHeight="1">
      <c r="E354" s="11"/>
    </row>
    <row r="355" ht="15.75" customHeight="1">
      <c r="E355" s="11"/>
    </row>
    <row r="356" ht="15.75" customHeight="1">
      <c r="E356" s="11"/>
    </row>
    <row r="357" ht="15.75" customHeight="1">
      <c r="E357" s="11"/>
    </row>
    <row r="358" ht="15.75" customHeight="1">
      <c r="E358" s="11"/>
    </row>
    <row r="359" ht="15.75" customHeight="1">
      <c r="E359" s="11"/>
    </row>
    <row r="360" ht="15.75" customHeight="1">
      <c r="E360" s="11"/>
    </row>
    <row r="361" ht="15.75" customHeight="1">
      <c r="E361" s="11"/>
    </row>
    <row r="362" ht="15.75" customHeight="1">
      <c r="E362" s="11"/>
    </row>
    <row r="363" ht="15.75" customHeight="1">
      <c r="E363" s="11"/>
    </row>
    <row r="364" ht="15.75" customHeight="1">
      <c r="E364" s="11"/>
    </row>
    <row r="365" ht="15.75" customHeight="1">
      <c r="E365" s="11"/>
    </row>
    <row r="366" ht="15.75" customHeight="1">
      <c r="E366" s="11"/>
    </row>
    <row r="367" ht="15.75" customHeight="1">
      <c r="E367" s="11"/>
    </row>
    <row r="368" ht="15.75" customHeight="1">
      <c r="E368" s="11"/>
    </row>
    <row r="369" ht="15.75" customHeight="1">
      <c r="E369" s="11"/>
    </row>
    <row r="370" ht="15.75" customHeight="1">
      <c r="E370" s="11"/>
    </row>
    <row r="371" ht="15.75" customHeight="1">
      <c r="E371" s="11"/>
    </row>
    <row r="372" ht="15.75" customHeight="1">
      <c r="E372" s="11"/>
    </row>
    <row r="373" ht="15.75" customHeight="1">
      <c r="E373" s="11"/>
    </row>
    <row r="374" ht="15.75" customHeight="1">
      <c r="E374" s="11"/>
    </row>
    <row r="375" ht="15.75" customHeight="1">
      <c r="E375" s="11"/>
    </row>
    <row r="376" ht="15.75" customHeight="1">
      <c r="E376" s="11"/>
    </row>
    <row r="377" ht="15.75" customHeight="1">
      <c r="E377" s="11"/>
    </row>
    <row r="378" ht="15.75" customHeight="1">
      <c r="E378" s="11"/>
    </row>
    <row r="379" ht="15.75" customHeight="1">
      <c r="E379" s="11"/>
    </row>
    <row r="380" ht="15.75" customHeight="1">
      <c r="E380" s="11"/>
    </row>
    <row r="381" ht="15.75" customHeight="1">
      <c r="E381" s="11"/>
    </row>
    <row r="382" ht="15.75" customHeight="1">
      <c r="E382" s="11"/>
    </row>
    <row r="383" ht="15.75" customHeight="1">
      <c r="E383" s="11"/>
    </row>
    <row r="384" ht="15.75" customHeight="1">
      <c r="E384" s="11"/>
    </row>
    <row r="385" ht="15.75" customHeight="1">
      <c r="E385" s="11"/>
    </row>
    <row r="386" ht="15.75" customHeight="1">
      <c r="E386" s="11"/>
    </row>
    <row r="387" ht="15.75" customHeight="1">
      <c r="E387" s="11"/>
    </row>
    <row r="388" ht="15.75" customHeight="1">
      <c r="E388" s="11"/>
    </row>
    <row r="389" ht="15.75" customHeight="1">
      <c r="E389" s="11"/>
    </row>
    <row r="390" ht="15.75" customHeight="1">
      <c r="E390" s="11"/>
    </row>
    <row r="391" ht="15.75" customHeight="1">
      <c r="E391" s="11"/>
    </row>
    <row r="392" ht="15.75" customHeight="1">
      <c r="E392" s="11"/>
    </row>
    <row r="393" ht="15.75" customHeight="1">
      <c r="E393" s="11"/>
    </row>
    <row r="394" ht="15.75" customHeight="1">
      <c r="E394" s="11"/>
    </row>
    <row r="395" ht="15.75" customHeight="1">
      <c r="E395" s="11"/>
    </row>
    <row r="396" ht="15.75" customHeight="1">
      <c r="E396" s="11"/>
    </row>
    <row r="397" ht="15.75" customHeight="1">
      <c r="E397" s="11"/>
    </row>
    <row r="398" ht="15.75" customHeight="1">
      <c r="E398" s="11"/>
    </row>
    <row r="399" ht="15.75" customHeight="1">
      <c r="E399" s="11"/>
    </row>
    <row r="400" ht="15.75" customHeight="1">
      <c r="E400" s="11"/>
    </row>
    <row r="401" ht="15.75" customHeight="1">
      <c r="E401" s="11"/>
    </row>
    <row r="402" ht="15.75" customHeight="1">
      <c r="E402" s="11"/>
    </row>
    <row r="403" ht="15.75" customHeight="1">
      <c r="E403" s="11"/>
    </row>
    <row r="404" ht="15.75" customHeight="1">
      <c r="E404" s="11"/>
    </row>
    <row r="405" ht="15.75" customHeight="1">
      <c r="E405" s="11"/>
    </row>
    <row r="406" ht="15.75" customHeight="1">
      <c r="E406" s="11"/>
    </row>
    <row r="407" ht="15.75" customHeight="1">
      <c r="E407" s="11"/>
    </row>
    <row r="408" ht="15.75" customHeight="1">
      <c r="E408" s="11"/>
    </row>
    <row r="409" ht="15.75" customHeight="1">
      <c r="E409" s="11"/>
    </row>
    <row r="410" ht="15.75" customHeight="1">
      <c r="E410" s="11"/>
    </row>
    <row r="411" ht="15.75" customHeight="1">
      <c r="E411" s="11"/>
    </row>
    <row r="412" ht="15.75" customHeight="1">
      <c r="E412" s="11"/>
    </row>
    <row r="413" ht="15.75" customHeight="1">
      <c r="E413" s="11"/>
    </row>
    <row r="414" ht="15.75" customHeight="1">
      <c r="E414" s="11"/>
    </row>
    <row r="415" ht="15.75" customHeight="1">
      <c r="E415" s="11"/>
    </row>
    <row r="416" ht="15.75" customHeight="1">
      <c r="E416" s="11"/>
    </row>
    <row r="417" ht="15.75" customHeight="1">
      <c r="E417" s="11"/>
    </row>
    <row r="418" ht="15.75" customHeight="1">
      <c r="E418" s="11"/>
    </row>
    <row r="419" ht="15.75" customHeight="1">
      <c r="E419" s="11"/>
    </row>
    <row r="420" ht="15.75" customHeight="1">
      <c r="E420" s="11"/>
    </row>
    <row r="421" ht="15.75" customHeight="1">
      <c r="E421" s="11"/>
    </row>
    <row r="422" ht="15.75" customHeight="1">
      <c r="E422" s="11"/>
    </row>
    <row r="423" ht="15.75" customHeight="1">
      <c r="E423" s="11"/>
    </row>
    <row r="424" ht="15.75" customHeight="1">
      <c r="E424" s="11"/>
    </row>
    <row r="425" ht="15.75" customHeight="1">
      <c r="E425" s="11"/>
    </row>
    <row r="426" ht="15.75" customHeight="1">
      <c r="E426" s="11"/>
    </row>
    <row r="427" ht="15.75" customHeight="1">
      <c r="E427" s="11"/>
    </row>
    <row r="428" ht="15.75" customHeight="1">
      <c r="E428" s="11"/>
    </row>
    <row r="429" ht="15.75" customHeight="1">
      <c r="E429" s="11"/>
    </row>
    <row r="430" ht="15.75" customHeight="1">
      <c r="E430" s="11"/>
    </row>
    <row r="431" ht="15.75" customHeight="1">
      <c r="E431" s="11"/>
    </row>
    <row r="432" ht="15.75" customHeight="1">
      <c r="E432" s="11"/>
    </row>
    <row r="433" ht="15.75" customHeight="1">
      <c r="E433" s="11"/>
    </row>
    <row r="434" ht="15.75" customHeight="1">
      <c r="E434" s="11"/>
    </row>
    <row r="435" ht="15.75" customHeight="1">
      <c r="E435" s="11"/>
    </row>
    <row r="436" ht="15.75" customHeight="1">
      <c r="E436" s="11"/>
    </row>
    <row r="437" ht="15.75" customHeight="1">
      <c r="E437" s="11"/>
    </row>
    <row r="438" ht="15.75" customHeight="1">
      <c r="E438" s="11"/>
    </row>
    <row r="439" ht="15.75" customHeight="1">
      <c r="E439" s="11"/>
    </row>
    <row r="440" ht="15.75" customHeight="1">
      <c r="E440" s="11"/>
    </row>
    <row r="441" ht="15.75" customHeight="1">
      <c r="E441" s="11"/>
    </row>
    <row r="442" ht="15.75" customHeight="1">
      <c r="E442" s="11"/>
    </row>
    <row r="443" ht="15.75" customHeight="1">
      <c r="E443" s="11"/>
    </row>
    <row r="444" ht="15.75" customHeight="1">
      <c r="E444" s="11"/>
    </row>
    <row r="445" ht="15.75" customHeight="1">
      <c r="E445" s="11"/>
    </row>
    <row r="446" ht="15.75" customHeight="1">
      <c r="E446" s="11"/>
    </row>
    <row r="447" ht="15.75" customHeight="1">
      <c r="E447" s="11"/>
    </row>
    <row r="448" ht="15.75" customHeight="1">
      <c r="E448" s="11"/>
    </row>
    <row r="449" ht="15.75" customHeight="1">
      <c r="E449" s="11"/>
    </row>
    <row r="450" ht="15.75" customHeight="1">
      <c r="E450" s="11"/>
    </row>
    <row r="451" ht="15.75" customHeight="1">
      <c r="E451" s="11"/>
    </row>
    <row r="452" ht="15.75" customHeight="1">
      <c r="E452" s="11"/>
    </row>
    <row r="453" ht="15.75" customHeight="1">
      <c r="E453" s="11"/>
    </row>
    <row r="454" ht="15.75" customHeight="1">
      <c r="E454" s="11"/>
    </row>
    <row r="455" ht="15.75" customHeight="1">
      <c r="E455" s="11"/>
    </row>
    <row r="456" ht="15.75" customHeight="1">
      <c r="E456" s="11"/>
    </row>
    <row r="457" ht="15.75" customHeight="1">
      <c r="E457" s="11"/>
    </row>
    <row r="458" ht="15.75" customHeight="1">
      <c r="E458" s="11"/>
    </row>
    <row r="459" ht="15.75" customHeight="1">
      <c r="E459" s="11"/>
    </row>
    <row r="460" ht="15.75" customHeight="1">
      <c r="E460" s="11"/>
    </row>
    <row r="461" ht="15.75" customHeight="1">
      <c r="E461" s="11"/>
    </row>
    <row r="462" ht="15.75" customHeight="1">
      <c r="E462" s="11"/>
    </row>
    <row r="463" ht="15.75" customHeight="1">
      <c r="E463" s="11"/>
    </row>
    <row r="464" ht="15.75" customHeight="1">
      <c r="E464" s="11"/>
    </row>
    <row r="465" ht="15.75" customHeight="1">
      <c r="E465" s="11"/>
    </row>
    <row r="466" ht="15.75" customHeight="1">
      <c r="E466" s="11"/>
    </row>
    <row r="467" ht="15.75" customHeight="1">
      <c r="E467" s="11"/>
    </row>
    <row r="468" ht="15.75" customHeight="1">
      <c r="E468" s="11"/>
    </row>
    <row r="469" ht="15.75" customHeight="1">
      <c r="E469" s="11"/>
    </row>
    <row r="470" ht="15.75" customHeight="1">
      <c r="E470" s="11"/>
    </row>
    <row r="471" ht="15.75" customHeight="1">
      <c r="E471" s="11"/>
    </row>
    <row r="472" ht="15.75" customHeight="1">
      <c r="E472" s="11"/>
    </row>
    <row r="473" ht="15.75" customHeight="1">
      <c r="E473" s="11"/>
    </row>
    <row r="474" ht="15.75" customHeight="1">
      <c r="E474" s="11"/>
    </row>
    <row r="475" ht="15.75" customHeight="1">
      <c r="E475" s="11"/>
    </row>
    <row r="476" ht="15.75" customHeight="1">
      <c r="E476" s="11"/>
    </row>
    <row r="477" ht="15.75" customHeight="1">
      <c r="E477" s="11"/>
    </row>
    <row r="478" ht="15.75" customHeight="1">
      <c r="E478" s="11"/>
    </row>
    <row r="479" ht="15.75" customHeight="1">
      <c r="E479" s="11"/>
    </row>
    <row r="480" ht="15.75" customHeight="1">
      <c r="E480" s="11"/>
    </row>
    <row r="481" ht="15.75" customHeight="1">
      <c r="E481" s="11"/>
    </row>
    <row r="482" ht="15.75" customHeight="1">
      <c r="E482" s="11"/>
    </row>
    <row r="483" ht="15.75" customHeight="1">
      <c r="E483" s="11"/>
    </row>
    <row r="484" ht="15.75" customHeight="1">
      <c r="E484" s="11"/>
    </row>
    <row r="485" ht="15.75" customHeight="1">
      <c r="E485" s="11"/>
    </row>
    <row r="486" ht="15.75" customHeight="1">
      <c r="E486" s="11"/>
    </row>
    <row r="487" ht="15.75" customHeight="1">
      <c r="E487" s="11"/>
    </row>
    <row r="488" ht="15.75" customHeight="1">
      <c r="E488" s="11"/>
    </row>
    <row r="489" ht="15.75" customHeight="1">
      <c r="E489" s="11"/>
    </row>
    <row r="490" ht="15.75" customHeight="1">
      <c r="E490" s="11"/>
    </row>
    <row r="491" ht="15.75" customHeight="1">
      <c r="E491" s="11"/>
    </row>
    <row r="492" ht="15.75" customHeight="1">
      <c r="E492" s="11"/>
    </row>
    <row r="493" ht="15.75" customHeight="1">
      <c r="E493" s="11"/>
    </row>
    <row r="494" ht="15.75" customHeight="1">
      <c r="E494" s="11"/>
    </row>
    <row r="495" ht="15.75" customHeight="1">
      <c r="E495" s="11"/>
    </row>
    <row r="496" ht="15.75" customHeight="1">
      <c r="E496" s="11"/>
    </row>
    <row r="497" ht="15.75" customHeight="1">
      <c r="E497" s="11"/>
    </row>
    <row r="498" ht="15.75" customHeight="1">
      <c r="E498" s="11"/>
    </row>
    <row r="499" ht="15.75" customHeight="1">
      <c r="E499" s="11"/>
    </row>
    <row r="500" ht="15.75" customHeight="1">
      <c r="E500" s="11"/>
    </row>
    <row r="501" ht="15.75" customHeight="1">
      <c r="E501" s="11"/>
    </row>
    <row r="502" ht="15.75" customHeight="1">
      <c r="E502" s="11"/>
    </row>
    <row r="503" ht="15.75" customHeight="1">
      <c r="E503" s="11"/>
    </row>
    <row r="504" ht="15.75" customHeight="1">
      <c r="E504" s="11"/>
    </row>
    <row r="505" ht="15.75" customHeight="1">
      <c r="E505" s="11"/>
    </row>
    <row r="506" ht="15.75" customHeight="1">
      <c r="E506" s="11"/>
    </row>
    <row r="507" ht="15.75" customHeight="1">
      <c r="E507" s="11"/>
    </row>
    <row r="508" ht="15.75" customHeight="1">
      <c r="E508" s="11"/>
    </row>
    <row r="509" ht="15.75" customHeight="1">
      <c r="E509" s="11"/>
    </row>
    <row r="510" ht="15.75" customHeight="1">
      <c r="E510" s="11"/>
    </row>
    <row r="511" ht="15.75" customHeight="1">
      <c r="E511" s="11"/>
    </row>
    <row r="512" ht="15.75" customHeight="1">
      <c r="E512" s="11"/>
    </row>
    <row r="513" ht="15.75" customHeight="1">
      <c r="E513" s="11"/>
    </row>
    <row r="514" ht="15.75" customHeight="1">
      <c r="E514" s="11"/>
    </row>
    <row r="515" ht="15.75" customHeight="1">
      <c r="E515" s="11"/>
    </row>
    <row r="516" ht="15.75" customHeight="1">
      <c r="E516" s="11"/>
    </row>
    <row r="517" ht="15.75" customHeight="1">
      <c r="E517" s="11"/>
    </row>
    <row r="518" ht="15.75" customHeight="1">
      <c r="E518" s="11"/>
    </row>
    <row r="519" ht="15.75" customHeight="1">
      <c r="E519" s="11"/>
    </row>
    <row r="520" ht="15.75" customHeight="1">
      <c r="E520" s="11"/>
    </row>
    <row r="521" ht="15.75" customHeight="1">
      <c r="E521" s="11"/>
    </row>
    <row r="522" ht="15.75" customHeight="1">
      <c r="E522" s="11"/>
    </row>
    <row r="523" ht="15.75" customHeight="1">
      <c r="E523" s="11"/>
    </row>
    <row r="524" ht="15.75" customHeight="1">
      <c r="E524" s="11"/>
    </row>
    <row r="525" ht="15.75" customHeight="1">
      <c r="E525" s="11"/>
    </row>
    <row r="526" ht="15.75" customHeight="1">
      <c r="E526" s="11"/>
    </row>
    <row r="527" ht="15.75" customHeight="1">
      <c r="E527" s="11"/>
    </row>
    <row r="528" ht="15.75" customHeight="1">
      <c r="E528" s="11"/>
    </row>
    <row r="529" ht="15.75" customHeight="1">
      <c r="E529" s="11"/>
    </row>
    <row r="530" ht="15.75" customHeight="1">
      <c r="E530" s="11"/>
    </row>
    <row r="531" ht="15.75" customHeight="1">
      <c r="E531" s="11"/>
    </row>
    <row r="532" ht="15.75" customHeight="1">
      <c r="E532" s="11"/>
    </row>
    <row r="533" ht="15.75" customHeight="1">
      <c r="E533" s="11"/>
    </row>
    <row r="534" ht="15.75" customHeight="1">
      <c r="E534" s="11"/>
    </row>
    <row r="535" ht="15.75" customHeight="1">
      <c r="E535" s="11"/>
    </row>
    <row r="536" ht="15.75" customHeight="1">
      <c r="E536" s="11"/>
    </row>
    <row r="537" ht="15.75" customHeight="1">
      <c r="E537" s="11"/>
    </row>
    <row r="538" ht="15.75" customHeight="1">
      <c r="E538" s="11"/>
    </row>
    <row r="539" ht="15.75" customHeight="1">
      <c r="E539" s="11"/>
    </row>
    <row r="540" ht="15.75" customHeight="1">
      <c r="E540" s="11"/>
    </row>
    <row r="541" ht="15.75" customHeight="1">
      <c r="E541" s="11"/>
    </row>
    <row r="542" ht="15.75" customHeight="1">
      <c r="E542" s="11"/>
    </row>
    <row r="543" ht="15.75" customHeight="1">
      <c r="E543" s="11"/>
    </row>
    <row r="544" ht="15.75" customHeight="1">
      <c r="E544" s="11"/>
    </row>
    <row r="545" ht="15.75" customHeight="1">
      <c r="E545" s="11"/>
    </row>
    <row r="546" ht="15.75" customHeight="1">
      <c r="E546" s="11"/>
    </row>
    <row r="547" ht="15.75" customHeight="1">
      <c r="E547" s="11"/>
    </row>
    <row r="548" ht="15.75" customHeight="1">
      <c r="E548" s="11"/>
    </row>
    <row r="549" ht="15.75" customHeight="1">
      <c r="E549" s="11"/>
    </row>
    <row r="550" ht="15.75" customHeight="1">
      <c r="E550" s="11"/>
    </row>
    <row r="551" ht="15.75" customHeight="1">
      <c r="E551" s="11"/>
    </row>
    <row r="552" ht="15.75" customHeight="1">
      <c r="E552" s="11"/>
    </row>
    <row r="553" ht="15.75" customHeight="1">
      <c r="E553" s="11"/>
    </row>
    <row r="554" ht="15.75" customHeight="1">
      <c r="E554" s="11"/>
    </row>
    <row r="555" ht="15.75" customHeight="1">
      <c r="E555" s="11"/>
    </row>
    <row r="556" ht="15.75" customHeight="1">
      <c r="E556" s="11"/>
    </row>
    <row r="557" ht="15.75" customHeight="1">
      <c r="E557" s="11"/>
    </row>
    <row r="558" ht="15.75" customHeight="1">
      <c r="E558" s="11"/>
    </row>
    <row r="559" ht="15.75" customHeight="1">
      <c r="E559" s="11"/>
    </row>
    <row r="560" ht="15.75" customHeight="1">
      <c r="E560" s="11"/>
    </row>
    <row r="561" ht="15.75" customHeight="1">
      <c r="E561" s="11"/>
    </row>
    <row r="562" ht="15.75" customHeight="1">
      <c r="E562" s="11"/>
    </row>
    <row r="563" ht="15.75" customHeight="1">
      <c r="E563" s="11"/>
    </row>
    <row r="564" ht="15.75" customHeight="1">
      <c r="E564" s="11"/>
    </row>
    <row r="565" ht="15.75" customHeight="1">
      <c r="E565" s="11"/>
    </row>
    <row r="566" ht="15.75" customHeight="1">
      <c r="E566" s="11"/>
    </row>
    <row r="567" ht="15.75" customHeight="1">
      <c r="E567" s="11"/>
    </row>
    <row r="568" ht="15.75" customHeight="1">
      <c r="E568" s="11"/>
    </row>
    <row r="569" ht="15.75" customHeight="1">
      <c r="E569" s="11"/>
    </row>
    <row r="570" ht="15.75" customHeight="1">
      <c r="E570" s="11"/>
    </row>
    <row r="571" ht="15.75" customHeight="1">
      <c r="E571" s="11"/>
    </row>
    <row r="572" ht="15.75" customHeight="1">
      <c r="E572" s="11"/>
    </row>
    <row r="573" ht="15.75" customHeight="1">
      <c r="E573" s="11"/>
    </row>
    <row r="574" ht="15.75" customHeight="1">
      <c r="E574" s="11"/>
    </row>
    <row r="575" ht="15.75" customHeight="1">
      <c r="E575" s="11"/>
    </row>
    <row r="576" ht="15.75" customHeight="1">
      <c r="E576" s="11"/>
    </row>
    <row r="577" ht="15.75" customHeight="1">
      <c r="E577" s="11"/>
    </row>
    <row r="578" ht="15.75" customHeight="1">
      <c r="E578" s="11"/>
    </row>
    <row r="579" ht="15.75" customHeight="1">
      <c r="E579" s="11"/>
    </row>
    <row r="580" ht="15.75" customHeight="1">
      <c r="E580" s="11"/>
    </row>
    <row r="581" ht="15.75" customHeight="1">
      <c r="E581" s="11"/>
    </row>
    <row r="582" ht="15.75" customHeight="1">
      <c r="E582" s="11"/>
    </row>
    <row r="583" ht="15.75" customHeight="1">
      <c r="E583" s="11"/>
    </row>
    <row r="584" ht="15.75" customHeight="1">
      <c r="E584" s="11"/>
    </row>
    <row r="585" ht="15.75" customHeight="1">
      <c r="E585" s="11"/>
    </row>
    <row r="586" ht="15.75" customHeight="1">
      <c r="E586" s="11"/>
    </row>
    <row r="587" ht="15.75" customHeight="1">
      <c r="E587" s="11"/>
    </row>
    <row r="588" ht="15.75" customHeight="1">
      <c r="E588" s="11"/>
    </row>
    <row r="589" ht="15.75" customHeight="1">
      <c r="E589" s="11"/>
    </row>
    <row r="590" ht="15.75" customHeight="1">
      <c r="E590" s="11"/>
    </row>
    <row r="591" ht="15.75" customHeight="1">
      <c r="E591" s="11"/>
    </row>
    <row r="592" ht="15.75" customHeight="1">
      <c r="E592" s="11"/>
    </row>
    <row r="593" ht="15.75" customHeight="1">
      <c r="E593" s="11"/>
    </row>
    <row r="594" ht="15.75" customHeight="1">
      <c r="E594" s="11"/>
    </row>
    <row r="595" ht="15.75" customHeight="1">
      <c r="E595" s="11"/>
    </row>
    <row r="596" ht="15.75" customHeight="1">
      <c r="E596" s="11"/>
    </row>
    <row r="597" ht="15.75" customHeight="1">
      <c r="E597" s="11"/>
    </row>
    <row r="598" ht="15.75" customHeight="1">
      <c r="E598" s="11"/>
    </row>
    <row r="599" ht="15.75" customHeight="1">
      <c r="E599" s="11"/>
    </row>
    <row r="600" ht="15.75" customHeight="1">
      <c r="E600" s="11"/>
    </row>
    <row r="601" ht="15.75" customHeight="1">
      <c r="E601" s="11"/>
    </row>
    <row r="602" ht="15.75" customHeight="1">
      <c r="E602" s="11"/>
    </row>
    <row r="603" ht="15.75" customHeight="1">
      <c r="E603" s="11"/>
    </row>
    <row r="604" ht="15.75" customHeight="1">
      <c r="E604" s="11"/>
    </row>
    <row r="605" ht="15.75" customHeight="1">
      <c r="E605" s="11"/>
    </row>
    <row r="606" ht="15.75" customHeight="1">
      <c r="E606" s="11"/>
    </row>
    <row r="607" ht="15.75" customHeight="1">
      <c r="E607" s="11"/>
    </row>
    <row r="608" ht="15.75" customHeight="1">
      <c r="E608" s="11"/>
    </row>
    <row r="609" ht="15.75" customHeight="1">
      <c r="E609" s="11"/>
    </row>
    <row r="610" ht="15.75" customHeight="1">
      <c r="E610" s="11"/>
    </row>
    <row r="611" ht="15.75" customHeight="1">
      <c r="E611" s="11"/>
    </row>
    <row r="612" ht="15.75" customHeight="1">
      <c r="E612" s="11"/>
    </row>
    <row r="613" ht="15.75" customHeight="1">
      <c r="E613" s="11"/>
    </row>
    <row r="614" ht="15.75" customHeight="1">
      <c r="E614" s="11"/>
    </row>
    <row r="615" ht="15.75" customHeight="1">
      <c r="E615" s="11"/>
    </row>
    <row r="616" ht="15.75" customHeight="1">
      <c r="E616" s="11"/>
    </row>
    <row r="617" ht="15.75" customHeight="1">
      <c r="E617" s="11"/>
    </row>
    <row r="618" ht="15.75" customHeight="1">
      <c r="E618" s="11"/>
    </row>
    <row r="619" ht="15.75" customHeight="1">
      <c r="E619" s="11"/>
    </row>
    <row r="620" ht="15.75" customHeight="1">
      <c r="E620" s="11"/>
    </row>
    <row r="621" ht="15.75" customHeight="1">
      <c r="E621" s="11"/>
    </row>
    <row r="622" ht="15.75" customHeight="1">
      <c r="E622" s="11"/>
    </row>
    <row r="623" ht="15.75" customHeight="1">
      <c r="E623" s="11"/>
    </row>
    <row r="624" ht="15.75" customHeight="1">
      <c r="E624" s="11"/>
    </row>
    <row r="625" ht="15.75" customHeight="1">
      <c r="E625" s="11"/>
    </row>
    <row r="626" ht="15.75" customHeight="1">
      <c r="E626" s="11"/>
    </row>
    <row r="627" ht="15.75" customHeight="1">
      <c r="E627" s="11"/>
    </row>
    <row r="628" ht="15.75" customHeight="1">
      <c r="E628" s="11"/>
    </row>
    <row r="629" ht="15.75" customHeight="1">
      <c r="E629" s="11"/>
    </row>
    <row r="630" ht="15.75" customHeight="1">
      <c r="E630" s="11"/>
    </row>
    <row r="631" ht="15.75" customHeight="1">
      <c r="E631" s="11"/>
    </row>
    <row r="632" ht="15.75" customHeight="1">
      <c r="E632" s="11"/>
    </row>
    <row r="633" ht="15.75" customHeight="1">
      <c r="E633" s="11"/>
    </row>
    <row r="634" ht="15.75" customHeight="1">
      <c r="E634" s="11"/>
    </row>
    <row r="635" ht="15.75" customHeight="1">
      <c r="E635" s="11"/>
    </row>
    <row r="636" ht="15.75" customHeight="1">
      <c r="E636" s="11"/>
    </row>
    <row r="637" ht="15.75" customHeight="1">
      <c r="E637" s="11"/>
    </row>
    <row r="638" ht="15.75" customHeight="1">
      <c r="E638" s="11"/>
    </row>
    <row r="639" ht="15.75" customHeight="1">
      <c r="E639" s="11"/>
    </row>
    <row r="640" ht="15.75" customHeight="1">
      <c r="E640" s="11"/>
    </row>
    <row r="641" ht="15.75" customHeight="1">
      <c r="E641" s="11"/>
    </row>
    <row r="642" ht="15.75" customHeight="1">
      <c r="E642" s="11"/>
    </row>
    <row r="643" ht="15.75" customHeight="1">
      <c r="E643" s="11"/>
    </row>
    <row r="644" ht="15.75" customHeight="1">
      <c r="E644" s="11"/>
    </row>
    <row r="645" ht="15.75" customHeight="1">
      <c r="E645" s="11"/>
    </row>
    <row r="646" ht="15.75" customHeight="1">
      <c r="E646" s="11"/>
    </row>
    <row r="647" ht="15.75" customHeight="1">
      <c r="E647" s="11"/>
    </row>
    <row r="648" ht="15.75" customHeight="1">
      <c r="E648" s="11"/>
    </row>
    <row r="649" ht="15.75" customHeight="1">
      <c r="E649" s="11"/>
    </row>
    <row r="650" ht="15.75" customHeight="1">
      <c r="E650" s="11"/>
    </row>
    <row r="651" ht="15.75" customHeight="1">
      <c r="E651" s="11"/>
    </row>
    <row r="652" ht="15.75" customHeight="1">
      <c r="E652" s="11"/>
    </row>
    <row r="653" ht="15.75" customHeight="1">
      <c r="E653" s="11"/>
    </row>
    <row r="654" ht="15.75" customHeight="1">
      <c r="E654" s="11"/>
    </row>
    <row r="655" ht="15.75" customHeight="1">
      <c r="E655" s="11"/>
    </row>
    <row r="656" ht="15.75" customHeight="1">
      <c r="E656" s="11"/>
    </row>
    <row r="657" ht="15.75" customHeight="1">
      <c r="E657" s="11"/>
    </row>
    <row r="658" ht="15.75" customHeight="1">
      <c r="E658" s="11"/>
    </row>
    <row r="659" ht="15.75" customHeight="1">
      <c r="E659" s="11"/>
    </row>
    <row r="660" ht="15.75" customHeight="1">
      <c r="E660" s="11"/>
    </row>
    <row r="661" ht="15.75" customHeight="1">
      <c r="E661" s="11"/>
    </row>
    <row r="662" ht="15.75" customHeight="1">
      <c r="E662" s="11"/>
    </row>
    <row r="663" ht="15.75" customHeight="1">
      <c r="E663" s="11"/>
    </row>
    <row r="664" ht="15.75" customHeight="1">
      <c r="E664" s="11"/>
    </row>
    <row r="665" ht="15.75" customHeight="1">
      <c r="E665" s="11"/>
    </row>
    <row r="666" ht="15.75" customHeight="1">
      <c r="E666" s="11"/>
    </row>
    <row r="667" ht="15.75" customHeight="1">
      <c r="E667" s="11"/>
    </row>
    <row r="668" ht="15.75" customHeight="1">
      <c r="E668" s="11"/>
    </row>
    <row r="669" ht="15.75" customHeight="1">
      <c r="E669" s="11"/>
    </row>
    <row r="670" ht="15.75" customHeight="1">
      <c r="E670" s="11"/>
    </row>
    <row r="671" ht="15.75" customHeight="1">
      <c r="E671" s="11"/>
    </row>
    <row r="672" ht="15.75" customHeight="1">
      <c r="E672" s="11"/>
    </row>
    <row r="673" ht="15.75" customHeight="1">
      <c r="E673" s="11"/>
    </row>
    <row r="674" ht="15.75" customHeight="1">
      <c r="E674" s="11"/>
    </row>
    <row r="675" ht="15.75" customHeight="1">
      <c r="E675" s="11"/>
    </row>
    <row r="676" ht="15.75" customHeight="1">
      <c r="E676" s="11"/>
    </row>
    <row r="677" ht="15.75" customHeight="1">
      <c r="E677" s="11"/>
    </row>
    <row r="678" ht="15.75" customHeight="1">
      <c r="E678" s="11"/>
    </row>
    <row r="679" ht="15.75" customHeight="1">
      <c r="E679" s="11"/>
    </row>
    <row r="680" ht="15.75" customHeight="1">
      <c r="E680" s="11"/>
    </row>
    <row r="681" ht="15.75" customHeight="1">
      <c r="E681" s="11"/>
    </row>
    <row r="682" ht="15.75" customHeight="1">
      <c r="E682" s="11"/>
    </row>
    <row r="683" ht="15.75" customHeight="1">
      <c r="E683" s="11"/>
    </row>
    <row r="684" ht="15.75" customHeight="1">
      <c r="E684" s="11"/>
    </row>
    <row r="685" ht="15.75" customHeight="1">
      <c r="E685" s="11"/>
    </row>
    <row r="686" ht="15.75" customHeight="1">
      <c r="E686" s="11"/>
    </row>
    <row r="687" ht="15.75" customHeight="1">
      <c r="E687" s="11"/>
    </row>
    <row r="688" ht="15.75" customHeight="1">
      <c r="E688" s="11"/>
    </row>
    <row r="689" ht="15.75" customHeight="1">
      <c r="E689" s="11"/>
    </row>
    <row r="690" ht="15.75" customHeight="1">
      <c r="E690" s="11"/>
    </row>
    <row r="691" ht="15.75" customHeight="1">
      <c r="E691" s="11"/>
    </row>
    <row r="692" ht="15.75" customHeight="1">
      <c r="E692" s="11"/>
    </row>
    <row r="693" ht="15.75" customHeight="1">
      <c r="E693" s="11"/>
    </row>
    <row r="694" ht="15.75" customHeight="1">
      <c r="E694" s="11"/>
    </row>
    <row r="695" ht="15.75" customHeight="1">
      <c r="E695" s="11"/>
    </row>
    <row r="696" ht="15.75" customHeight="1">
      <c r="E696" s="11"/>
    </row>
    <row r="697" ht="15.75" customHeight="1">
      <c r="E697" s="11"/>
    </row>
    <row r="698" ht="15.75" customHeight="1">
      <c r="E698" s="11"/>
    </row>
    <row r="699" ht="15.75" customHeight="1">
      <c r="E699" s="11"/>
    </row>
    <row r="700" ht="15.75" customHeight="1">
      <c r="E700" s="11"/>
    </row>
    <row r="701" ht="15.75" customHeight="1">
      <c r="E701" s="11"/>
    </row>
    <row r="702" ht="15.75" customHeight="1">
      <c r="E702" s="11"/>
    </row>
    <row r="703" ht="15.75" customHeight="1">
      <c r="E703" s="11"/>
    </row>
    <row r="704" ht="15.75" customHeight="1">
      <c r="E704" s="11"/>
    </row>
    <row r="705" ht="15.75" customHeight="1">
      <c r="E705" s="11"/>
    </row>
    <row r="706" ht="15.75" customHeight="1">
      <c r="E706" s="11"/>
    </row>
    <row r="707" ht="15.75" customHeight="1">
      <c r="E707" s="11"/>
    </row>
    <row r="708" ht="15.75" customHeight="1">
      <c r="E708" s="11"/>
    </row>
    <row r="709" ht="15.75" customHeight="1">
      <c r="E709" s="11"/>
    </row>
    <row r="710" ht="15.75" customHeight="1">
      <c r="E710" s="11"/>
    </row>
    <row r="711" ht="15.75" customHeight="1">
      <c r="E711" s="11"/>
    </row>
    <row r="712" ht="15.75" customHeight="1">
      <c r="E712" s="11"/>
    </row>
    <row r="713" ht="15.75" customHeight="1">
      <c r="E713" s="11"/>
    </row>
    <row r="714" ht="15.75" customHeight="1">
      <c r="E714" s="11"/>
    </row>
    <row r="715" ht="15.75" customHeight="1">
      <c r="E715" s="11"/>
    </row>
    <row r="716" ht="15.75" customHeight="1">
      <c r="E716" s="11"/>
    </row>
    <row r="717" ht="15.75" customHeight="1">
      <c r="E717" s="11"/>
    </row>
    <row r="718" ht="15.75" customHeight="1">
      <c r="E718" s="11"/>
    </row>
    <row r="719" ht="15.75" customHeight="1">
      <c r="E719" s="11"/>
    </row>
    <row r="720" ht="15.75" customHeight="1">
      <c r="E720" s="11"/>
    </row>
    <row r="721" ht="15.75" customHeight="1">
      <c r="E721" s="11"/>
    </row>
    <row r="722" ht="15.75" customHeight="1">
      <c r="E722" s="11"/>
    </row>
    <row r="723" ht="15.75" customHeight="1">
      <c r="E723" s="11"/>
    </row>
    <row r="724" ht="15.75" customHeight="1">
      <c r="E724" s="11"/>
    </row>
    <row r="725" ht="15.75" customHeight="1">
      <c r="E725" s="11"/>
    </row>
    <row r="726" ht="15.75" customHeight="1">
      <c r="E726" s="11"/>
    </row>
    <row r="727" ht="15.75" customHeight="1">
      <c r="E727" s="11"/>
    </row>
    <row r="728" ht="15.75" customHeight="1">
      <c r="E728" s="11"/>
    </row>
    <row r="729" ht="15.75" customHeight="1">
      <c r="E729" s="11"/>
    </row>
    <row r="730" ht="15.75" customHeight="1">
      <c r="E730" s="11"/>
    </row>
    <row r="731" ht="15.75" customHeight="1">
      <c r="E731" s="11"/>
    </row>
    <row r="732" ht="15.75" customHeight="1">
      <c r="E732" s="11"/>
    </row>
    <row r="733" ht="15.75" customHeight="1">
      <c r="E733" s="11"/>
    </row>
    <row r="734" ht="15.75" customHeight="1">
      <c r="E734" s="11"/>
    </row>
    <row r="735" ht="15.75" customHeight="1">
      <c r="E735" s="11"/>
    </row>
    <row r="736" ht="15.75" customHeight="1">
      <c r="E736" s="11"/>
    </row>
    <row r="737" ht="15.75" customHeight="1">
      <c r="E737" s="11"/>
    </row>
    <row r="738" ht="15.75" customHeight="1">
      <c r="E738" s="11"/>
    </row>
    <row r="739" ht="15.75" customHeight="1">
      <c r="E739" s="11"/>
    </row>
    <row r="740" ht="15.75" customHeight="1">
      <c r="E740" s="11"/>
    </row>
    <row r="741" ht="15.75" customHeight="1">
      <c r="E741" s="11"/>
    </row>
    <row r="742" ht="15.75" customHeight="1">
      <c r="E742" s="11"/>
    </row>
    <row r="743" ht="15.75" customHeight="1">
      <c r="E743" s="11"/>
    </row>
    <row r="744" ht="15.75" customHeight="1">
      <c r="E744" s="11"/>
    </row>
    <row r="745" ht="15.75" customHeight="1">
      <c r="E745" s="11"/>
    </row>
    <row r="746" ht="15.75" customHeight="1">
      <c r="E746" s="11"/>
    </row>
    <row r="747" ht="15.75" customHeight="1">
      <c r="E747" s="11"/>
    </row>
    <row r="748" ht="15.75" customHeight="1">
      <c r="E748" s="11"/>
    </row>
    <row r="749" ht="15.75" customHeight="1">
      <c r="E749" s="11"/>
    </row>
    <row r="750" ht="15.75" customHeight="1">
      <c r="E750" s="11"/>
    </row>
    <row r="751" ht="15.75" customHeight="1">
      <c r="E751" s="11"/>
    </row>
    <row r="752" ht="15.75" customHeight="1">
      <c r="E752" s="11"/>
    </row>
    <row r="753" ht="15.75" customHeight="1">
      <c r="E753" s="11"/>
    </row>
    <row r="754" ht="15.75" customHeight="1">
      <c r="E754" s="11"/>
    </row>
    <row r="755" ht="15.75" customHeight="1">
      <c r="E755" s="11"/>
    </row>
    <row r="756" ht="15.75" customHeight="1">
      <c r="E756" s="11"/>
    </row>
    <row r="757" ht="15.75" customHeight="1">
      <c r="E757" s="11"/>
    </row>
    <row r="758" ht="15.75" customHeight="1">
      <c r="E758" s="11"/>
    </row>
    <row r="759" ht="15.75" customHeight="1">
      <c r="E759" s="11"/>
    </row>
    <row r="760" ht="15.75" customHeight="1">
      <c r="E760" s="11"/>
    </row>
    <row r="761" ht="15.75" customHeight="1">
      <c r="E761" s="11"/>
    </row>
    <row r="762" ht="15.75" customHeight="1">
      <c r="E762" s="11"/>
    </row>
    <row r="763" ht="15.75" customHeight="1">
      <c r="E763" s="11"/>
    </row>
    <row r="764" ht="15.75" customHeight="1">
      <c r="E764" s="11"/>
    </row>
    <row r="765" ht="15.75" customHeight="1">
      <c r="E765" s="11"/>
    </row>
    <row r="766" ht="15.75" customHeight="1">
      <c r="E766" s="11"/>
    </row>
    <row r="767" ht="15.75" customHeight="1">
      <c r="E767" s="11"/>
    </row>
    <row r="768" ht="15.75" customHeight="1">
      <c r="E768" s="11"/>
    </row>
    <row r="769" ht="15.75" customHeight="1">
      <c r="E769" s="11"/>
    </row>
    <row r="770" ht="15.75" customHeight="1">
      <c r="E770" s="11"/>
    </row>
    <row r="771" ht="15.75" customHeight="1">
      <c r="E771" s="11"/>
    </row>
    <row r="772" ht="15.75" customHeight="1">
      <c r="E772" s="11"/>
    </row>
    <row r="773" ht="15.75" customHeight="1">
      <c r="E773" s="11"/>
    </row>
    <row r="774" ht="15.75" customHeight="1">
      <c r="E774" s="11"/>
    </row>
    <row r="775" ht="15.75" customHeight="1">
      <c r="E775" s="11"/>
    </row>
    <row r="776" ht="15.75" customHeight="1">
      <c r="E776" s="11"/>
    </row>
    <row r="777" ht="15.75" customHeight="1">
      <c r="E777" s="11"/>
    </row>
    <row r="778" ht="15.75" customHeight="1">
      <c r="E778" s="11"/>
    </row>
    <row r="779" ht="15.75" customHeight="1">
      <c r="E779" s="11"/>
    </row>
    <row r="780" ht="15.75" customHeight="1">
      <c r="E780" s="11"/>
    </row>
    <row r="781" ht="15.75" customHeight="1">
      <c r="E781" s="11"/>
    </row>
    <row r="782" ht="15.75" customHeight="1">
      <c r="E782" s="11"/>
    </row>
    <row r="783" ht="15.75" customHeight="1">
      <c r="E783" s="11"/>
    </row>
    <row r="784" ht="15.75" customHeight="1">
      <c r="E784" s="11"/>
    </row>
    <row r="785" ht="15.75" customHeight="1">
      <c r="E785" s="11"/>
    </row>
    <row r="786" ht="15.75" customHeight="1">
      <c r="E786" s="11"/>
    </row>
    <row r="787" ht="15.75" customHeight="1">
      <c r="E787" s="11"/>
    </row>
    <row r="788" ht="15.75" customHeight="1">
      <c r="E788" s="11"/>
    </row>
    <row r="789" ht="15.75" customHeight="1">
      <c r="E789" s="11"/>
    </row>
    <row r="790" ht="15.75" customHeight="1">
      <c r="E790" s="11"/>
    </row>
    <row r="791" ht="15.75" customHeight="1">
      <c r="E791" s="11"/>
    </row>
    <row r="792" ht="15.75" customHeight="1">
      <c r="E792" s="11"/>
    </row>
    <row r="793" ht="15.75" customHeight="1">
      <c r="E793" s="11"/>
    </row>
    <row r="794" ht="15.75" customHeight="1">
      <c r="E794" s="11"/>
    </row>
    <row r="795" ht="15.75" customHeight="1">
      <c r="E795" s="11"/>
    </row>
    <row r="796" ht="15.75" customHeight="1">
      <c r="E796" s="11"/>
    </row>
    <row r="797" ht="15.75" customHeight="1">
      <c r="E797" s="11"/>
    </row>
    <row r="798" ht="15.75" customHeight="1">
      <c r="E798" s="11"/>
    </row>
    <row r="799" ht="15.75" customHeight="1">
      <c r="E799" s="11"/>
    </row>
    <row r="800" ht="15.75" customHeight="1">
      <c r="E800" s="11"/>
    </row>
    <row r="801" ht="15.75" customHeight="1">
      <c r="E801" s="11"/>
    </row>
    <row r="802" ht="15.75" customHeight="1">
      <c r="E802" s="11"/>
    </row>
    <row r="803" ht="15.75" customHeight="1">
      <c r="E803" s="11"/>
    </row>
    <row r="804" ht="15.75" customHeight="1">
      <c r="E804" s="11"/>
    </row>
    <row r="805" ht="15.75" customHeight="1">
      <c r="E805" s="11"/>
    </row>
    <row r="806" ht="15.75" customHeight="1">
      <c r="E806" s="11"/>
    </row>
    <row r="807" ht="15.75" customHeight="1">
      <c r="E807" s="11"/>
    </row>
    <row r="808" ht="15.75" customHeight="1">
      <c r="E808" s="11"/>
    </row>
    <row r="809" ht="15.75" customHeight="1">
      <c r="E809" s="11"/>
    </row>
    <row r="810" ht="15.75" customHeight="1">
      <c r="E810" s="11"/>
    </row>
    <row r="811" ht="15.75" customHeight="1">
      <c r="E811" s="11"/>
    </row>
    <row r="812" ht="15.75" customHeight="1">
      <c r="E812" s="11"/>
    </row>
    <row r="813" ht="15.75" customHeight="1">
      <c r="E813" s="11"/>
    </row>
    <row r="814" ht="15.75" customHeight="1">
      <c r="E814" s="11"/>
    </row>
    <row r="815" ht="15.75" customHeight="1">
      <c r="E815" s="11"/>
    </row>
    <row r="816" ht="15.75" customHeight="1">
      <c r="E816" s="11"/>
    </row>
    <row r="817" ht="15.75" customHeight="1">
      <c r="E817" s="11"/>
    </row>
    <row r="818" ht="15.75" customHeight="1">
      <c r="E818" s="11"/>
    </row>
    <row r="819" ht="15.75" customHeight="1">
      <c r="E819" s="11"/>
    </row>
    <row r="820" ht="15.75" customHeight="1">
      <c r="E820" s="11"/>
    </row>
    <row r="821" ht="15.75" customHeight="1">
      <c r="E821" s="11"/>
    </row>
    <row r="822" ht="15.75" customHeight="1">
      <c r="E822" s="11"/>
    </row>
    <row r="823" ht="15.75" customHeight="1">
      <c r="E823" s="11"/>
    </row>
    <row r="824" ht="15.75" customHeight="1">
      <c r="E824" s="11"/>
    </row>
    <row r="825" ht="15.75" customHeight="1">
      <c r="E825" s="11"/>
    </row>
    <row r="826" ht="15.75" customHeight="1">
      <c r="E826" s="11"/>
    </row>
    <row r="827" ht="15.75" customHeight="1">
      <c r="E827" s="11"/>
    </row>
    <row r="828" ht="15.75" customHeight="1">
      <c r="E828" s="11"/>
    </row>
    <row r="829" ht="15.75" customHeight="1">
      <c r="E829" s="11"/>
    </row>
    <row r="830" ht="15.75" customHeight="1">
      <c r="E830" s="11"/>
    </row>
    <row r="831" ht="15.75" customHeight="1">
      <c r="E831" s="11"/>
    </row>
    <row r="832" ht="15.75" customHeight="1">
      <c r="E832" s="11"/>
    </row>
    <row r="833" ht="15.75" customHeight="1">
      <c r="E833" s="11"/>
    </row>
    <row r="834" ht="15.75" customHeight="1">
      <c r="E834" s="11"/>
    </row>
    <row r="835" ht="15.75" customHeight="1">
      <c r="E835" s="11"/>
    </row>
    <row r="836" ht="15.75" customHeight="1">
      <c r="E836" s="11"/>
    </row>
    <row r="837" ht="15.75" customHeight="1">
      <c r="E837" s="11"/>
    </row>
    <row r="838" ht="15.75" customHeight="1">
      <c r="E838" s="11"/>
    </row>
    <row r="839" ht="15.75" customHeight="1">
      <c r="E839" s="11"/>
    </row>
    <row r="840" ht="15.75" customHeight="1">
      <c r="E840" s="11"/>
    </row>
    <row r="841" ht="15.75" customHeight="1">
      <c r="E841" s="11"/>
    </row>
    <row r="842" ht="15.75" customHeight="1">
      <c r="E842" s="11"/>
    </row>
    <row r="843" ht="15.75" customHeight="1">
      <c r="E843" s="11"/>
    </row>
    <row r="844" ht="15.75" customHeight="1">
      <c r="E844" s="11"/>
    </row>
    <row r="845" ht="15.75" customHeight="1">
      <c r="E845" s="11"/>
    </row>
    <row r="846" ht="15.75" customHeight="1">
      <c r="E846" s="11"/>
    </row>
    <row r="847" ht="15.75" customHeight="1">
      <c r="E847" s="11"/>
    </row>
    <row r="848" ht="15.75" customHeight="1">
      <c r="E848" s="11"/>
    </row>
    <row r="849" ht="15.75" customHeight="1">
      <c r="E849" s="11"/>
    </row>
    <row r="850" ht="15.75" customHeight="1">
      <c r="E850" s="11"/>
    </row>
    <row r="851" ht="15.75" customHeight="1">
      <c r="E851" s="11"/>
    </row>
    <row r="852" ht="15.75" customHeight="1">
      <c r="E852" s="11"/>
    </row>
    <row r="853" ht="15.75" customHeight="1">
      <c r="E853" s="11"/>
    </row>
    <row r="854" ht="15.75" customHeight="1">
      <c r="E854" s="11"/>
    </row>
    <row r="855" ht="15.75" customHeight="1">
      <c r="E855" s="11"/>
    </row>
    <row r="856" ht="15.75" customHeight="1">
      <c r="E856" s="11"/>
    </row>
    <row r="857" ht="15.75" customHeight="1">
      <c r="E857" s="11"/>
    </row>
    <row r="858" ht="15.75" customHeight="1">
      <c r="E858" s="11"/>
    </row>
    <row r="859" ht="15.75" customHeight="1">
      <c r="E859" s="11"/>
    </row>
    <row r="860" ht="15.75" customHeight="1">
      <c r="E860" s="11"/>
    </row>
    <row r="861" ht="15.75" customHeight="1">
      <c r="E861" s="11"/>
    </row>
    <row r="862" ht="15.75" customHeight="1">
      <c r="E862" s="11"/>
    </row>
    <row r="863" ht="15.75" customHeight="1">
      <c r="E863" s="11"/>
    </row>
    <row r="864" ht="15.75" customHeight="1">
      <c r="E864" s="11"/>
    </row>
    <row r="865" ht="15.75" customHeight="1">
      <c r="E865" s="11"/>
    </row>
    <row r="866" ht="15.75" customHeight="1">
      <c r="E866" s="11"/>
    </row>
    <row r="867" ht="15.75" customHeight="1">
      <c r="E867" s="11"/>
    </row>
    <row r="868" ht="15.75" customHeight="1">
      <c r="E868" s="11"/>
    </row>
    <row r="869" ht="15.75" customHeight="1">
      <c r="E869" s="11"/>
    </row>
    <row r="870" ht="15.75" customHeight="1">
      <c r="E870" s="11"/>
    </row>
    <row r="871" ht="15.75" customHeight="1">
      <c r="E871" s="11"/>
    </row>
    <row r="872" ht="15.75" customHeight="1">
      <c r="E872" s="11"/>
    </row>
    <row r="873" ht="15.75" customHeight="1">
      <c r="E873" s="11"/>
    </row>
    <row r="874" ht="15.75" customHeight="1">
      <c r="E874" s="11"/>
    </row>
    <row r="875" ht="15.75" customHeight="1">
      <c r="E875" s="11"/>
    </row>
    <row r="876" ht="15.75" customHeight="1">
      <c r="E876" s="11"/>
    </row>
    <row r="877" ht="15.75" customHeight="1">
      <c r="E877" s="11"/>
    </row>
    <row r="878" ht="15.75" customHeight="1">
      <c r="E878" s="11"/>
    </row>
    <row r="879" ht="15.75" customHeight="1">
      <c r="E879" s="11"/>
    </row>
    <row r="880" ht="15.75" customHeight="1">
      <c r="E880" s="11"/>
    </row>
    <row r="881" ht="15.75" customHeight="1">
      <c r="E881" s="11"/>
    </row>
    <row r="882" ht="15.75" customHeight="1">
      <c r="E882" s="11"/>
    </row>
    <row r="883" ht="15.75" customHeight="1">
      <c r="E883" s="11"/>
    </row>
    <row r="884" ht="15.75" customHeight="1">
      <c r="E884" s="11"/>
    </row>
    <row r="885" ht="15.75" customHeight="1">
      <c r="E885" s="11"/>
    </row>
    <row r="886" ht="15.75" customHeight="1">
      <c r="E886" s="11"/>
    </row>
    <row r="887" ht="15.75" customHeight="1">
      <c r="E887" s="11"/>
    </row>
    <row r="888" ht="15.75" customHeight="1">
      <c r="E888" s="11"/>
    </row>
    <row r="889" ht="15.75" customHeight="1">
      <c r="E889" s="11"/>
    </row>
    <row r="890" ht="15.75" customHeight="1">
      <c r="E890" s="11"/>
    </row>
    <row r="891" ht="15.75" customHeight="1">
      <c r="E891" s="11"/>
    </row>
    <row r="892" ht="15.75" customHeight="1">
      <c r="E892" s="11"/>
    </row>
    <row r="893" ht="15.75" customHeight="1">
      <c r="E893" s="11"/>
    </row>
    <row r="894" ht="15.75" customHeight="1">
      <c r="E894" s="11"/>
    </row>
    <row r="895" ht="15.75" customHeight="1">
      <c r="E895" s="11"/>
    </row>
    <row r="896" ht="15.75" customHeight="1">
      <c r="E896" s="11"/>
    </row>
    <row r="897" ht="15.75" customHeight="1">
      <c r="E897" s="11"/>
    </row>
    <row r="898" ht="15.75" customHeight="1">
      <c r="E898" s="11"/>
    </row>
    <row r="899" ht="15.75" customHeight="1">
      <c r="E899" s="11"/>
    </row>
    <row r="900" ht="15.75" customHeight="1">
      <c r="E900" s="11"/>
    </row>
    <row r="901" ht="15.75" customHeight="1">
      <c r="E901" s="11"/>
    </row>
    <row r="902" ht="15.75" customHeight="1">
      <c r="E902" s="11"/>
    </row>
    <row r="903" ht="15.75" customHeight="1">
      <c r="E903" s="11"/>
    </row>
    <row r="904" ht="15.75" customHeight="1">
      <c r="E904" s="11"/>
    </row>
    <row r="905" ht="15.75" customHeight="1">
      <c r="E905" s="11"/>
    </row>
    <row r="906" ht="15.75" customHeight="1">
      <c r="E906" s="11"/>
    </row>
    <row r="907" ht="15.75" customHeight="1">
      <c r="E907" s="11"/>
    </row>
    <row r="908" ht="15.75" customHeight="1">
      <c r="E908" s="11"/>
    </row>
    <row r="909" ht="15.75" customHeight="1">
      <c r="E909" s="11"/>
    </row>
    <row r="910" ht="15.75" customHeight="1">
      <c r="E910" s="11"/>
    </row>
    <row r="911" ht="15.75" customHeight="1">
      <c r="E911" s="11"/>
    </row>
    <row r="912" ht="15.75" customHeight="1">
      <c r="E912" s="11"/>
    </row>
    <row r="913" ht="15.75" customHeight="1">
      <c r="E913" s="11"/>
    </row>
    <row r="914" ht="15.75" customHeight="1">
      <c r="E914" s="11"/>
    </row>
    <row r="915" ht="15.75" customHeight="1">
      <c r="E915" s="11"/>
    </row>
    <row r="916" ht="15.75" customHeight="1">
      <c r="E916" s="11"/>
    </row>
    <row r="917" ht="15.75" customHeight="1">
      <c r="E917" s="11"/>
    </row>
    <row r="918" ht="15.75" customHeight="1">
      <c r="E918" s="11"/>
    </row>
    <row r="919" ht="15.75" customHeight="1">
      <c r="E919" s="11"/>
    </row>
    <row r="920" ht="15.75" customHeight="1">
      <c r="E920" s="11"/>
    </row>
    <row r="921" ht="15.75" customHeight="1">
      <c r="E921" s="11"/>
    </row>
    <row r="922" ht="15.75" customHeight="1">
      <c r="E922" s="11"/>
    </row>
    <row r="923" ht="15.75" customHeight="1">
      <c r="E923" s="11"/>
    </row>
    <row r="924" ht="15.75" customHeight="1">
      <c r="E924" s="11"/>
    </row>
    <row r="925" ht="15.75" customHeight="1">
      <c r="E925" s="11"/>
    </row>
    <row r="926" ht="15.75" customHeight="1">
      <c r="E926" s="11"/>
    </row>
    <row r="927" ht="15.75" customHeight="1">
      <c r="E927" s="11"/>
    </row>
    <row r="928" ht="15.75" customHeight="1">
      <c r="E928" s="11"/>
    </row>
    <row r="929" ht="15.75" customHeight="1">
      <c r="E929" s="11"/>
    </row>
    <row r="930" ht="15.75" customHeight="1">
      <c r="E930" s="11"/>
    </row>
    <row r="931" ht="15.75" customHeight="1">
      <c r="E931" s="11"/>
    </row>
    <row r="932" ht="15.75" customHeight="1">
      <c r="E932" s="11"/>
    </row>
    <row r="933" ht="15.75" customHeight="1">
      <c r="E933" s="11"/>
    </row>
    <row r="934" ht="15.75" customHeight="1">
      <c r="E934" s="11"/>
    </row>
    <row r="935" ht="15.75" customHeight="1">
      <c r="E935" s="11"/>
    </row>
    <row r="936" ht="15.75" customHeight="1">
      <c r="E936" s="11"/>
    </row>
    <row r="937" ht="15.75" customHeight="1">
      <c r="E937" s="11"/>
    </row>
    <row r="938" ht="15.75" customHeight="1">
      <c r="E938" s="11"/>
    </row>
    <row r="939" ht="15.75" customHeight="1">
      <c r="E939" s="11"/>
    </row>
    <row r="940" ht="15.75" customHeight="1">
      <c r="E940" s="11"/>
    </row>
    <row r="941" ht="15.75" customHeight="1">
      <c r="E941" s="11"/>
    </row>
    <row r="942" ht="15.75" customHeight="1">
      <c r="E942" s="11"/>
    </row>
    <row r="943" ht="15.75" customHeight="1">
      <c r="E943" s="11"/>
    </row>
    <row r="944" ht="15.75" customHeight="1">
      <c r="E944" s="11"/>
    </row>
    <row r="945" ht="15.75" customHeight="1">
      <c r="E945" s="11"/>
    </row>
    <row r="946" ht="15.75" customHeight="1">
      <c r="E946" s="11"/>
    </row>
    <row r="947" ht="15.75" customHeight="1">
      <c r="E947" s="11"/>
    </row>
    <row r="948" ht="15.75" customHeight="1">
      <c r="E948" s="11"/>
    </row>
    <row r="949" ht="15.75" customHeight="1">
      <c r="E949" s="11"/>
    </row>
    <row r="950" ht="15.75" customHeight="1">
      <c r="E950" s="11"/>
    </row>
    <row r="951" ht="15.75" customHeight="1">
      <c r="E951" s="11"/>
    </row>
    <row r="952" ht="15.75" customHeight="1">
      <c r="E952" s="11"/>
    </row>
    <row r="953" ht="15.75" customHeight="1">
      <c r="E953" s="11"/>
    </row>
    <row r="954" ht="15.75" customHeight="1">
      <c r="E954" s="11"/>
    </row>
    <row r="955" ht="15.75" customHeight="1">
      <c r="E955" s="11"/>
    </row>
    <row r="956" ht="15.75" customHeight="1">
      <c r="E956" s="11"/>
    </row>
    <row r="957" ht="15.75" customHeight="1">
      <c r="E957" s="11"/>
    </row>
    <row r="958" ht="15.75" customHeight="1">
      <c r="E958" s="11"/>
    </row>
    <row r="959" ht="15.75" customHeight="1">
      <c r="E959" s="11"/>
    </row>
    <row r="960" ht="15.75" customHeight="1">
      <c r="E960" s="11"/>
    </row>
    <row r="961" ht="15.75" customHeight="1">
      <c r="E961" s="11"/>
    </row>
    <row r="962" ht="15.75" customHeight="1">
      <c r="E962" s="11"/>
    </row>
    <row r="963" ht="15.75" customHeight="1">
      <c r="E963" s="11"/>
    </row>
    <row r="964" ht="15.75" customHeight="1">
      <c r="E964" s="11"/>
    </row>
    <row r="965" ht="15.75" customHeight="1">
      <c r="E965" s="11"/>
    </row>
    <row r="966" ht="15.75" customHeight="1">
      <c r="E966" s="11"/>
    </row>
    <row r="967" ht="15.75" customHeight="1">
      <c r="E967" s="11"/>
    </row>
    <row r="968" ht="15.75" customHeight="1">
      <c r="E968" s="11"/>
    </row>
    <row r="969" ht="15.75" customHeight="1">
      <c r="E969" s="11"/>
    </row>
    <row r="970" ht="15.75" customHeight="1">
      <c r="E970" s="11"/>
    </row>
    <row r="971" ht="15.75" customHeight="1">
      <c r="E971" s="11"/>
    </row>
    <row r="972" ht="15.75" customHeight="1">
      <c r="E972" s="11"/>
    </row>
    <row r="973" ht="15.75" customHeight="1">
      <c r="E973" s="11"/>
    </row>
    <row r="974" ht="15.75" customHeight="1">
      <c r="E974" s="11"/>
    </row>
    <row r="975" ht="15.75" customHeight="1">
      <c r="E975" s="11"/>
    </row>
    <row r="976" ht="15.75" customHeight="1">
      <c r="E976" s="11"/>
    </row>
    <row r="977" ht="15.75" customHeight="1">
      <c r="E977" s="11"/>
    </row>
    <row r="978" ht="15.75" customHeight="1">
      <c r="E978" s="11"/>
    </row>
    <row r="979" ht="15.75" customHeight="1">
      <c r="E979" s="11"/>
    </row>
    <row r="980" ht="15.75" customHeight="1">
      <c r="E980" s="11"/>
    </row>
    <row r="981" ht="15.75" customHeight="1">
      <c r="E981" s="11"/>
    </row>
    <row r="982" ht="15.75" customHeight="1">
      <c r="E982" s="11"/>
    </row>
    <row r="983" ht="15.75" customHeight="1">
      <c r="E983" s="11"/>
    </row>
    <row r="984" ht="15.75" customHeight="1">
      <c r="E984" s="11"/>
    </row>
    <row r="985" ht="15.75" customHeight="1">
      <c r="E985" s="11"/>
    </row>
    <row r="986" ht="15.75" customHeight="1">
      <c r="E986" s="11"/>
    </row>
    <row r="987" ht="15.75" customHeight="1">
      <c r="E987" s="11"/>
    </row>
    <row r="988" ht="15.75" customHeight="1">
      <c r="E988" s="11"/>
    </row>
    <row r="989" ht="15.75" customHeight="1">
      <c r="E989" s="11"/>
    </row>
    <row r="990" ht="15.75" customHeight="1">
      <c r="E990" s="11"/>
    </row>
    <row r="991" ht="15.75" customHeight="1">
      <c r="E991" s="11"/>
    </row>
    <row r="992" ht="15.75" customHeight="1">
      <c r="E992" s="11"/>
    </row>
    <row r="993" ht="15.75" customHeight="1">
      <c r="E993" s="11"/>
    </row>
    <row r="994" ht="15.75" customHeight="1">
      <c r="E994" s="11"/>
    </row>
    <row r="995" ht="15.75" customHeight="1">
      <c r="E995" s="11"/>
    </row>
    <row r="996" ht="15.75" customHeight="1">
      <c r="E996" s="11"/>
    </row>
    <row r="997" ht="15.75" customHeight="1">
      <c r="E997" s="11"/>
    </row>
    <row r="998" ht="15.75" customHeight="1">
      <c r="E998" s="11"/>
    </row>
    <row r="999" ht="15.75" customHeight="1">
      <c r="E999" s="11"/>
    </row>
    <row r="1000" ht="15.75" customHeight="1">
      <c r="E1000" s="11"/>
    </row>
  </sheetData>
  <conditionalFormatting sqref="E2:E1000">
    <cfRule type="cellIs" dxfId="0" priority="1" operator="equal">
      <formula>"上場"</formula>
    </cfRule>
  </conditionalFormatting>
  <dataValidations>
    <dataValidation type="list" allowBlank="1" sqref="E2:E1000">
      <formula1>"上場,未上場"</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5.75" customHeight="1">
      <c r="A1" s="97" t="s">
        <v>2825</v>
      </c>
      <c r="B1" s="98" t="s">
        <v>2826</v>
      </c>
      <c r="C1" s="98" t="s">
        <v>2827</v>
      </c>
      <c r="D1" s="98" t="s">
        <v>2828</v>
      </c>
      <c r="E1" s="98" t="s">
        <v>2829</v>
      </c>
      <c r="F1" s="98" t="s">
        <v>2830</v>
      </c>
    </row>
    <row r="2" ht="15.75" customHeight="1">
      <c r="A2" s="99" t="s">
        <v>2831</v>
      </c>
      <c r="B2" s="100" t="s">
        <v>2832</v>
      </c>
      <c r="C2" s="101">
        <v>43259.0</v>
      </c>
      <c r="D2" s="100" t="s">
        <v>2833</v>
      </c>
      <c r="E2" s="100" t="s">
        <v>2834</v>
      </c>
      <c r="F2" s="100" t="s">
        <v>2835</v>
      </c>
    </row>
    <row r="3" ht="15.75" customHeight="1">
      <c r="A3" s="102" t="s">
        <v>2836</v>
      </c>
      <c r="B3" s="103" t="s">
        <v>2837</v>
      </c>
      <c r="C3" s="103" t="s">
        <v>2838</v>
      </c>
      <c r="D3" s="103" t="s">
        <v>2839</v>
      </c>
      <c r="E3" s="103" t="s">
        <v>2834</v>
      </c>
      <c r="F3" s="103" t="s">
        <v>2840</v>
      </c>
    </row>
    <row r="4" ht="15.75" customHeight="1">
      <c r="A4" s="102" t="s">
        <v>2841</v>
      </c>
      <c r="B4" s="103" t="s">
        <v>2842</v>
      </c>
      <c r="C4" s="104">
        <v>41643.0</v>
      </c>
      <c r="D4" s="103" t="s">
        <v>2833</v>
      </c>
      <c r="E4" s="103" t="s">
        <v>2834</v>
      </c>
      <c r="F4" s="103" t="s">
        <v>2843</v>
      </c>
    </row>
    <row r="5" ht="15.75" customHeight="1">
      <c r="A5" s="102" t="s">
        <v>2844</v>
      </c>
      <c r="B5" s="103" t="s">
        <v>2845</v>
      </c>
      <c r="C5" s="103" t="s">
        <v>2846</v>
      </c>
      <c r="D5" s="103" t="s">
        <v>2847</v>
      </c>
      <c r="E5" s="103" t="s">
        <v>2834</v>
      </c>
      <c r="F5" s="103" t="s">
        <v>2848</v>
      </c>
    </row>
    <row r="6" ht="15.75" customHeight="1">
      <c r="A6" s="102" t="s">
        <v>2849</v>
      </c>
      <c r="B6" s="103" t="s">
        <v>2850</v>
      </c>
      <c r="C6" s="103" t="s">
        <v>2851</v>
      </c>
      <c r="D6" s="103" t="s">
        <v>2852</v>
      </c>
      <c r="E6" s="103" t="s">
        <v>2834</v>
      </c>
      <c r="F6" s="103" t="s">
        <v>2853</v>
      </c>
    </row>
    <row r="7" ht="15.75" customHeight="1">
      <c r="A7" s="102" t="s">
        <v>2854</v>
      </c>
      <c r="B7" s="103" t="s">
        <v>2855</v>
      </c>
      <c r="C7" s="103" t="s">
        <v>2856</v>
      </c>
      <c r="D7" s="103" t="s">
        <v>2833</v>
      </c>
      <c r="E7" s="103" t="s">
        <v>2834</v>
      </c>
      <c r="F7" s="103" t="s">
        <v>2857</v>
      </c>
    </row>
    <row r="8" ht="15.75" customHeight="1">
      <c r="A8" s="102" t="s">
        <v>2858</v>
      </c>
      <c r="B8" s="103" t="s">
        <v>2855</v>
      </c>
      <c r="C8" s="104">
        <v>43383.0</v>
      </c>
      <c r="D8" s="103" t="s">
        <v>2833</v>
      </c>
      <c r="E8" s="103" t="s">
        <v>2834</v>
      </c>
      <c r="F8" s="103" t="s">
        <v>2859</v>
      </c>
    </row>
    <row r="9" ht="15.75" customHeight="1">
      <c r="A9" s="102" t="s">
        <v>2860</v>
      </c>
      <c r="B9" s="103" t="s">
        <v>2861</v>
      </c>
      <c r="C9" s="103" t="s">
        <v>2862</v>
      </c>
      <c r="D9" s="103" t="s">
        <v>2833</v>
      </c>
      <c r="E9" s="103" t="s">
        <v>2834</v>
      </c>
      <c r="F9" s="103" t="s">
        <v>2863</v>
      </c>
    </row>
    <row r="10" ht="15.75" customHeight="1">
      <c r="A10" s="102" t="s">
        <v>2864</v>
      </c>
      <c r="B10" s="103" t="s">
        <v>2865</v>
      </c>
      <c r="C10" s="103" t="s">
        <v>2866</v>
      </c>
      <c r="D10" s="103" t="s">
        <v>2847</v>
      </c>
      <c r="E10" s="103" t="s">
        <v>2834</v>
      </c>
      <c r="F10" s="103" t="s">
        <v>2867</v>
      </c>
    </row>
    <row r="11" ht="15.75" customHeight="1">
      <c r="A11" s="102" t="s">
        <v>2868</v>
      </c>
      <c r="B11" s="103" t="s">
        <v>2869</v>
      </c>
      <c r="C11" s="104">
        <v>42070.0</v>
      </c>
      <c r="D11" s="103" t="s">
        <v>2833</v>
      </c>
      <c r="E11" s="103" t="s">
        <v>2834</v>
      </c>
      <c r="F11" s="103" t="s">
        <v>2870</v>
      </c>
    </row>
    <row r="12" ht="15.75" customHeight="1">
      <c r="A12" s="102" t="s">
        <v>2871</v>
      </c>
      <c r="B12" s="103" t="s">
        <v>2872</v>
      </c>
      <c r="C12" s="104">
        <v>42738.0</v>
      </c>
      <c r="D12" s="103" t="s">
        <v>2833</v>
      </c>
      <c r="E12" s="103" t="s">
        <v>2834</v>
      </c>
      <c r="F12" s="103" t="s">
        <v>2873</v>
      </c>
    </row>
    <row r="13" ht="15.75" customHeight="1">
      <c r="A13" s="102" t="s">
        <v>2874</v>
      </c>
      <c r="B13" s="103" t="s">
        <v>2875</v>
      </c>
      <c r="C13" s="103" t="s">
        <v>2876</v>
      </c>
      <c r="D13" s="103" t="s">
        <v>2833</v>
      </c>
      <c r="E13" s="103" t="s">
        <v>2834</v>
      </c>
      <c r="F13" s="103" t="s">
        <v>2877</v>
      </c>
    </row>
    <row r="14" ht="15.75" customHeight="1">
      <c r="A14" s="102" t="s">
        <v>2878</v>
      </c>
      <c r="B14" s="103" t="s">
        <v>2875</v>
      </c>
      <c r="C14" s="103" t="s">
        <v>2879</v>
      </c>
      <c r="D14" s="103" t="s">
        <v>2833</v>
      </c>
      <c r="E14" s="103" t="s">
        <v>2834</v>
      </c>
      <c r="F14" s="103" t="s">
        <v>2880</v>
      </c>
    </row>
    <row r="15" ht="15.75" customHeight="1">
      <c r="A15" s="102" t="s">
        <v>2881</v>
      </c>
      <c r="B15" s="103" t="s">
        <v>2882</v>
      </c>
      <c r="C15" s="104">
        <v>42127.0</v>
      </c>
      <c r="D15" s="103" t="s">
        <v>2852</v>
      </c>
      <c r="E15" s="103" t="s">
        <v>2834</v>
      </c>
      <c r="F15" s="103" t="s">
        <v>2883</v>
      </c>
    </row>
    <row r="16" ht="15.75" customHeight="1">
      <c r="A16" s="102" t="s">
        <v>2884</v>
      </c>
      <c r="B16" s="103" t="s">
        <v>2885</v>
      </c>
      <c r="C16" s="104">
        <v>41650.0</v>
      </c>
      <c r="D16" s="103" t="s">
        <v>2847</v>
      </c>
      <c r="E16" s="103" t="s">
        <v>2834</v>
      </c>
      <c r="F16" s="103" t="s">
        <v>2886</v>
      </c>
    </row>
    <row r="17" ht="15.75" customHeight="1">
      <c r="A17" s="102" t="s">
        <v>2887</v>
      </c>
      <c r="B17" s="103" t="s">
        <v>2888</v>
      </c>
      <c r="C17" s="103" t="s">
        <v>2889</v>
      </c>
      <c r="D17" s="103" t="s">
        <v>2890</v>
      </c>
      <c r="E17" s="103" t="s">
        <v>2834</v>
      </c>
      <c r="F17" s="103" t="s">
        <v>2891</v>
      </c>
    </row>
    <row r="18" ht="15.75" customHeight="1">
      <c r="A18" s="102" t="s">
        <v>2892</v>
      </c>
      <c r="B18" s="103" t="s">
        <v>2893</v>
      </c>
      <c r="C18" s="103" t="s">
        <v>2894</v>
      </c>
      <c r="D18" s="103" t="s">
        <v>2847</v>
      </c>
      <c r="E18" s="103" t="s">
        <v>2834</v>
      </c>
      <c r="F18" s="103" t="s">
        <v>2895</v>
      </c>
    </row>
    <row r="19" ht="15.75" customHeight="1">
      <c r="A19" s="102" t="s">
        <v>2896</v>
      </c>
      <c r="B19" s="103" t="s">
        <v>2897</v>
      </c>
      <c r="C19" s="104">
        <v>43013.0</v>
      </c>
      <c r="D19" s="103" t="s">
        <v>2833</v>
      </c>
      <c r="E19" s="103" t="s">
        <v>2834</v>
      </c>
      <c r="F19" s="103" t="s">
        <v>2898</v>
      </c>
    </row>
    <row r="20" ht="15.75" customHeight="1">
      <c r="A20" s="102" t="s">
        <v>2899</v>
      </c>
      <c r="B20" s="103" t="s">
        <v>2900</v>
      </c>
      <c r="C20" s="104">
        <v>42837.0</v>
      </c>
      <c r="D20" s="103" t="s">
        <v>2833</v>
      </c>
      <c r="E20" s="103" t="s">
        <v>2834</v>
      </c>
      <c r="F20" s="103" t="s">
        <v>2901</v>
      </c>
    </row>
    <row r="21" ht="15.75" customHeight="1">
      <c r="A21" s="102" t="s">
        <v>2902</v>
      </c>
      <c r="B21" s="103" t="s">
        <v>2903</v>
      </c>
      <c r="C21" s="103" t="s">
        <v>2904</v>
      </c>
      <c r="D21" s="103" t="s">
        <v>2905</v>
      </c>
      <c r="E21" s="103" t="s">
        <v>2834</v>
      </c>
      <c r="F21" s="103" t="s">
        <v>2906</v>
      </c>
    </row>
    <row r="22" ht="15.75" customHeight="1">
      <c r="A22" s="102" t="s">
        <v>2907</v>
      </c>
      <c r="B22" s="103" t="s">
        <v>2908</v>
      </c>
      <c r="C22" s="104">
        <v>41676.0</v>
      </c>
      <c r="D22" s="103" t="s">
        <v>2833</v>
      </c>
      <c r="E22" s="103" t="s">
        <v>2834</v>
      </c>
      <c r="F22" s="103" t="s">
        <v>2909</v>
      </c>
    </row>
    <row r="23" ht="15.75" customHeight="1">
      <c r="A23" s="102" t="s">
        <v>2910</v>
      </c>
      <c r="B23" s="103" t="s">
        <v>2911</v>
      </c>
      <c r="C23" s="103" t="s">
        <v>2912</v>
      </c>
      <c r="D23" s="103" t="s">
        <v>2839</v>
      </c>
      <c r="E23" s="103" t="s">
        <v>2834</v>
      </c>
      <c r="F23" s="103" t="s">
        <v>2913</v>
      </c>
    </row>
    <row r="24" ht="15.75" customHeight="1">
      <c r="A24" s="102" t="s">
        <v>2914</v>
      </c>
      <c r="B24" s="103" t="s">
        <v>2911</v>
      </c>
      <c r="C24" s="103" t="s">
        <v>2915</v>
      </c>
      <c r="D24" s="103" t="s">
        <v>2833</v>
      </c>
      <c r="E24" s="103" t="s">
        <v>2834</v>
      </c>
      <c r="F24" s="103" t="s">
        <v>2916</v>
      </c>
    </row>
    <row r="25" ht="15.75" customHeight="1">
      <c r="A25" s="102" t="s">
        <v>2917</v>
      </c>
      <c r="B25" s="103" t="s">
        <v>2911</v>
      </c>
      <c r="C25" s="105">
        <v>43377.0</v>
      </c>
      <c r="D25" s="103" t="s">
        <v>2847</v>
      </c>
      <c r="E25" s="103" t="s">
        <v>2834</v>
      </c>
      <c r="F25" s="103" t="s">
        <v>2918</v>
      </c>
    </row>
    <row r="26" ht="15.75" customHeight="1">
      <c r="A26" s="102" t="s">
        <v>2919</v>
      </c>
      <c r="B26" s="103" t="s">
        <v>2911</v>
      </c>
      <c r="C26" s="104">
        <v>43259.0</v>
      </c>
      <c r="D26" s="103" t="s">
        <v>2833</v>
      </c>
      <c r="E26" s="103" t="s">
        <v>2834</v>
      </c>
      <c r="F26" s="103" t="s">
        <v>2920</v>
      </c>
    </row>
    <row r="27" ht="15.75" customHeight="1">
      <c r="A27" s="102" t="s">
        <v>2921</v>
      </c>
      <c r="B27" s="103" t="s">
        <v>2911</v>
      </c>
      <c r="C27" s="103" t="s">
        <v>2922</v>
      </c>
      <c r="D27" s="103" t="s">
        <v>2847</v>
      </c>
      <c r="E27" s="103" t="s">
        <v>2834</v>
      </c>
      <c r="F27" s="103" t="s">
        <v>2923</v>
      </c>
    </row>
    <row r="28" ht="15.75" customHeight="1">
      <c r="A28" s="102" t="s">
        <v>2924</v>
      </c>
      <c r="B28" s="103" t="s">
        <v>2911</v>
      </c>
      <c r="C28" s="103" t="s">
        <v>2925</v>
      </c>
      <c r="D28" s="103" t="s">
        <v>2833</v>
      </c>
      <c r="E28" s="103" t="s">
        <v>2834</v>
      </c>
      <c r="F28" s="103" t="s">
        <v>2926</v>
      </c>
    </row>
    <row r="29" ht="15.75" customHeight="1">
      <c r="A29" s="102" t="s">
        <v>2927</v>
      </c>
      <c r="B29" s="103" t="s">
        <v>2911</v>
      </c>
      <c r="C29" s="104">
        <v>43227.0</v>
      </c>
      <c r="D29" s="103" t="s">
        <v>2847</v>
      </c>
      <c r="E29" s="103" t="s">
        <v>2834</v>
      </c>
      <c r="F29" s="103" t="s">
        <v>2928</v>
      </c>
    </row>
    <row r="30" ht="15.75" customHeight="1">
      <c r="A30" s="102" t="s">
        <v>2929</v>
      </c>
      <c r="B30" s="103" t="s">
        <v>2911</v>
      </c>
      <c r="C30" s="104">
        <v>43647.0</v>
      </c>
      <c r="D30" s="103" t="s">
        <v>2833</v>
      </c>
      <c r="E30" s="103" t="s">
        <v>2834</v>
      </c>
      <c r="F30" s="103" t="s">
        <v>2930</v>
      </c>
    </row>
    <row r="31" ht="15.75" customHeight="1">
      <c r="A31" s="102" t="s">
        <v>2443</v>
      </c>
      <c r="B31" s="103" t="s">
        <v>2908</v>
      </c>
      <c r="C31" s="103" t="s">
        <v>2931</v>
      </c>
      <c r="D31" s="103" t="s">
        <v>2833</v>
      </c>
      <c r="E31" s="103" t="s">
        <v>2834</v>
      </c>
      <c r="F31" s="103" t="s">
        <v>2932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s>
  <drawing r:id="rId3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5.75" customHeight="1">
      <c r="A1" s="1" t="s">
        <v>0</v>
      </c>
      <c r="B1" s="1" t="s">
        <v>2</v>
      </c>
      <c r="C1" s="106" t="s">
        <v>2265</v>
      </c>
      <c r="D1" s="107" t="s">
        <v>2266</v>
      </c>
      <c r="E1" s="1" t="s">
        <v>2933</v>
      </c>
      <c r="F1" s="1" t="s">
        <v>2934</v>
      </c>
      <c r="G1" s="1" t="s">
        <v>2935</v>
      </c>
      <c r="H1" s="1" t="s">
        <v>82</v>
      </c>
      <c r="I1" s="1" t="s">
        <v>2936</v>
      </c>
      <c r="J1" s="1" t="s">
        <v>2937</v>
      </c>
      <c r="K1" s="1" t="s">
        <v>2938</v>
      </c>
      <c r="L1" s="1" t="s">
        <v>2939</v>
      </c>
      <c r="M1" s="1" t="s">
        <v>2940</v>
      </c>
      <c r="N1" s="31" t="s">
        <v>2941</v>
      </c>
      <c r="O1" s="31" t="s">
        <v>2244</v>
      </c>
      <c r="P1" s="31" t="s">
        <v>2942</v>
      </c>
      <c r="Q1" s="31"/>
      <c r="R1" s="1"/>
      <c r="S1" s="1"/>
      <c r="T1" s="1"/>
      <c r="U1" s="1"/>
      <c r="V1" s="31"/>
      <c r="W1" s="31"/>
      <c r="X1" s="31"/>
      <c r="Y1" s="31"/>
      <c r="Z1" s="31"/>
      <c r="AA1" s="1"/>
      <c r="AB1" s="1"/>
      <c r="AC1" s="1"/>
      <c r="AD1" s="1"/>
      <c r="AE1" s="1"/>
      <c r="AF1" s="1"/>
      <c r="AG1" s="1"/>
      <c r="AH1" s="1"/>
      <c r="AI1" s="1"/>
      <c r="AJ1" s="1"/>
    </row>
    <row r="2" ht="15.75" customHeight="1">
      <c r="A2" s="31" t="s">
        <v>2943</v>
      </c>
      <c r="B2" s="85" t="s">
        <v>2944</v>
      </c>
      <c r="C2" s="31"/>
      <c r="D2" s="31"/>
      <c r="E2" s="85" t="s">
        <v>2944</v>
      </c>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row>
    <row r="3" ht="15.75" customHeight="1">
      <c r="A3" s="31" t="s">
        <v>2945</v>
      </c>
      <c r="B3" s="85" t="s">
        <v>2946</v>
      </c>
      <c r="C3" s="31"/>
      <c r="D3" s="31"/>
      <c r="E3" s="85" t="s">
        <v>2946</v>
      </c>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row>
    <row r="4" ht="15.75" customHeight="1">
      <c r="A4" s="31" t="s">
        <v>2947</v>
      </c>
      <c r="B4" s="85" t="s">
        <v>2948</v>
      </c>
      <c r="C4" s="31"/>
      <c r="D4" s="31"/>
      <c r="E4" s="85" t="s">
        <v>2948</v>
      </c>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row>
    <row r="5" ht="15.75" customHeight="1">
      <c r="A5" s="31" t="s">
        <v>2949</v>
      </c>
      <c r="B5" s="85" t="s">
        <v>2950</v>
      </c>
      <c r="C5" s="31"/>
      <c r="D5" s="31"/>
      <c r="E5" s="85" t="s">
        <v>2951</v>
      </c>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row>
    <row r="6" ht="15.75" customHeight="1">
      <c r="A6" s="31" t="s">
        <v>1604</v>
      </c>
      <c r="B6" s="85" t="s">
        <v>1606</v>
      </c>
      <c r="C6" s="31"/>
      <c r="D6" s="31"/>
      <c r="E6" s="31"/>
      <c r="F6" s="31"/>
      <c r="G6" s="31"/>
      <c r="H6" s="31"/>
      <c r="I6" s="31"/>
      <c r="J6" s="31"/>
      <c r="K6" s="31"/>
      <c r="L6" s="31"/>
      <c r="M6" s="31"/>
      <c r="N6" s="85" t="s">
        <v>1606</v>
      </c>
      <c r="O6" s="31"/>
      <c r="P6" s="31"/>
      <c r="Q6" s="31"/>
      <c r="R6" s="31"/>
      <c r="S6" s="31"/>
      <c r="T6" s="31"/>
      <c r="U6" s="31"/>
      <c r="V6" s="31"/>
      <c r="W6" s="31"/>
      <c r="X6" s="31"/>
      <c r="Y6" s="31"/>
      <c r="Z6" s="31"/>
      <c r="AA6" s="31"/>
      <c r="AB6" s="31"/>
      <c r="AC6" s="31"/>
      <c r="AD6" s="31"/>
      <c r="AE6" s="31"/>
      <c r="AF6" s="31"/>
      <c r="AG6" s="31"/>
      <c r="AH6" s="31"/>
      <c r="AI6" s="31"/>
      <c r="AJ6" s="31"/>
    </row>
    <row r="7" ht="15.75" customHeight="1">
      <c r="A7" s="31" t="s">
        <v>2952</v>
      </c>
      <c r="B7" s="85" t="s">
        <v>2953</v>
      </c>
      <c r="C7" s="31"/>
      <c r="D7" s="31"/>
      <c r="E7" s="31"/>
      <c r="F7" s="31"/>
      <c r="G7" s="31"/>
      <c r="H7" s="31"/>
      <c r="I7" s="31"/>
      <c r="J7" s="31"/>
      <c r="K7" s="31"/>
      <c r="L7" s="31"/>
      <c r="M7" s="31"/>
      <c r="N7" s="31"/>
      <c r="O7" s="31"/>
      <c r="P7" s="85" t="s">
        <v>2954</v>
      </c>
      <c r="Q7" s="31"/>
      <c r="R7" s="31"/>
      <c r="S7" s="31"/>
      <c r="T7" s="31"/>
      <c r="U7" s="31"/>
      <c r="V7" s="31"/>
      <c r="W7" s="31"/>
      <c r="X7" s="31"/>
      <c r="Y7" s="31"/>
      <c r="Z7" s="31"/>
      <c r="AA7" s="31"/>
      <c r="AB7" s="31"/>
      <c r="AC7" s="31"/>
      <c r="AD7" s="31"/>
      <c r="AE7" s="31"/>
      <c r="AF7" s="31"/>
      <c r="AG7" s="31"/>
      <c r="AH7" s="31"/>
      <c r="AI7" s="31"/>
      <c r="AJ7" s="31"/>
    </row>
    <row r="8" ht="15.75" customHeight="1">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row>
    <row r="9" ht="15.75" customHeight="1">
      <c r="A9" s="31"/>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row>
    <row r="10" ht="15.75" customHeight="1">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row>
    <row r="11" ht="15.75" customHeight="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row>
    <row r="12" ht="15.75" customHeight="1">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row>
    <row r="13" ht="15.75" customHeight="1">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row>
    <row r="14" ht="15.75" customHeight="1">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row>
    <row r="15" ht="15.75" customHeight="1">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row>
    <row r="16" ht="15.75" customHeight="1">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row>
    <row r="17" ht="15.75" customHeight="1">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row>
    <row r="18" ht="15.75" customHeight="1">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row>
    <row r="19" ht="15.75" customHeight="1">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row>
    <row r="20" ht="15.75" customHeight="1">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row>
    <row r="21"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row>
    <row r="22"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row>
    <row r="23"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row>
    <row r="24"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row>
    <row r="25"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2" ref="B2"/>
    <hyperlink r:id="rId3" ref="E2"/>
    <hyperlink r:id="rId4" ref="B3"/>
    <hyperlink r:id="rId5" ref="E3"/>
    <hyperlink r:id="rId6" ref="B4"/>
    <hyperlink r:id="rId7" ref="E4"/>
    <hyperlink r:id="rId8" ref="B5"/>
    <hyperlink r:id="rId9" ref="E5"/>
    <hyperlink r:id="rId10" ref="B6"/>
    <hyperlink r:id="rId11" ref="N6"/>
    <hyperlink r:id="rId12" ref="B7"/>
    <hyperlink r:id="rId13" ref="P7"/>
  </hyperlinks>
  <drawing r:id="rId14"/>
  <legacyDrawing r:id="rId15"/>
</worksheet>
</file>